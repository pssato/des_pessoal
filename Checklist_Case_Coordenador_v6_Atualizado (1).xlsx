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6421d80ad847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bertura Case v6" sheetId="1" r:id="Rdd68df7cbb7b4a96"/>
    <x:sheet xmlns:r="http://schemas.openxmlformats.org/officeDocument/2006/relationships" name="Resumo" sheetId="2" r:id="Rb078b339c9684fc8"/>
    <x:sheet xmlns:r="http://schemas.openxmlformats.org/officeDocument/2006/relationships" name="Fechamento" sheetId="3" r:id="R79c6be437b154c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B1F3A"/>
      <x:name val="Carlito"/>
    </x:font>
    <x:font>
      <x:b/>
      <x:sz val="10"/>
      <x:color rgb="FFFFFFFF"/>
      <x:name val="Carlito"/>
    </x:font>
    <x:font>
      <x:sz val="11"/>
      <x:color rgb="FF0B1F3A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0B1F3A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2FB"/>
      </x:patternFill>
    </x:fill>
    <x:fill>
      <x:patternFill patternType="solid">
        <x:fgColor rgb="FF2563A6"/>
      </x:patternFill>
    </x:fill>
    <x:fill>
      <x:patternFill patternType="solid">
        <x:fgColor rgb="FFFFFFFF"/>
      </x:patternFill>
    </x:fill>
    <x:fill>
      <x:patternFill patternType="solid">
        <x:fgColor rgb="FFF6F8FB"/>
      </x:patternFill>
    </x:fill>
    <x:fill>
      <x:patternFill patternType="solid">
        <x:fgColor rgb="FFE87522"/>
      </x:patternFill>
    </x:fill>
    <x:fill>
      <x:patternFill patternType="solid">
        <x:fgColor rgb="FFFFF6E5"/>
      </x:patternFill>
    </x:fill>
    <x:fill>
      <x:patternFill patternType="solid">
        <x:fgColor rgb="FF2C8A57"/>
      </x:patternFill>
    </x:fill>
    <x:fill>
      <x:patternFill patternType="solid">
        <x:fgColor rgb="FFEAF7EF"/>
      </x:patternFill>
    </x:fill>
  </x:fills>
  <x:borders count="18">
    <x:border/>
    <x:border/>
    <x:border>
      <x:left style="thin">
        <x:color rgb="FFD9E1EA"/>
      </x:left>
      <x:top style="thin">
        <x:color rgb="FFD9E1EA"/>
      </x:top>
    </x:border>
    <x:border>
      <x:top style="thin">
        <x:color rgb="FFD9E1EA"/>
      </x:top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</x:border>
    <x:border>
      <x:right style="thin">
        <x:color rgb="FFD9E1EA"/>
      </x:right>
    </x:border>
    <x:border>
      <x:left style="thin">
        <x:color rgb="FFD9E1EA"/>
      </x:left>
      <x:bottom style="thin">
        <x:color rgb="FFD9E1EA"/>
      </x:bottom>
    </x:border>
    <x:border>
      <x:bottom style="thin">
        <x:color rgb="FFD9E1EA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top style="thin">
        <x:color rgb="FFD9E1EA"/>
      </x:top>
    </x:border>
    <x:border>
      <x:top style="thin">
        <x:color rgb="FFD9E1EA"/>
      </x:top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</x:border>
    <x:border>
      <x:right style="thin">
        <x:color rgb="FFD9E1EA"/>
      </x:right>
    </x:border>
    <x:border>
      <x:left style="thin">
        <x:color rgb="FFD9E1EA"/>
      </x:left>
      <x:bottom style="thin">
        <x:color rgb="FFD9E1EA"/>
      </x:bottom>
    </x:border>
    <x:border>
      <x:bottom style="thin">
        <x:color rgb="FFD9E1EA"/>
      </x:bottom>
    </x:border>
    <x:border>
      <x:right style="thin">
        <x:color rgb="FFD9E1EA"/>
      </x:right>
      <x:bottom style="thin">
        <x:color rgb="FFD9E1EA"/>
      </x:bottom>
    </x:border>
  </x:borders>
  <x:cellStyleXfs count="1">
    <x:xf numFmtId="0" fontId="0" fillId="0" borderId="0"/>
  </x:cellStyleXfs>
  <x:cellXfs count="1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6" borderId="13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5" xfId="0" applyNumberFormat="1" applyFont="1" applyFill="1" applyBorder="1" applyAlignment="1">
      <x:alignment vertical="top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5" borderId="17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6" fillId="0" borderId="2" xfId="0" applyNumberFormat="1" applyFont="1" applyFill="1" applyBorder="1"/>
    <x:xf numFmtId="0" fontId="6" fillId="0" borderId="5" xfId="0" applyNumberFormat="1" applyFont="1" applyFill="1" applyBorder="1"/>
    <x:xf numFmtId="0" fontId="6" fillId="0" borderId="7" xfId="0" applyNumberFormat="1" applyFont="1" applyFill="1" applyBorder="1"/>
    <x:xf numFmtId="0" fontId="6" fillId="0" borderId="10" xfId="0" applyNumberFormat="1" applyFont="1" applyFill="1" applyBorder="1"/>
    <x:xf numFmtId="0" fontId="6" fillId="0" borderId="13" xfId="0" applyNumberFormat="1" applyFont="1" applyFill="1" applyBorder="1"/>
    <x:xf numFmtId="0" fontId="6" fillId="0" borderId="15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6" xfId="0" applyNumberFormat="1" applyFont="1" applyFill="1" applyBorder="1" applyAlignment="1">
      <x:alignment wrapText="1"/>
    </x:xf>
    <x:xf numFmtId="0" fontId="0" fillId="8" borderId="13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8" borderId="1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0" fillId="8" borderId="8" xfId="0" applyNumberFormat="1" applyFont="1" applyFill="1" applyBorder="1" applyAlignment="1">
      <x:alignment wrapText="1"/>
    </x:xf>
    <x:xf numFmtId="0" fontId="0" fillId="8" borderId="9" xfId="0" applyNumberFormat="1" applyFont="1" applyFill="1" applyBorder="1" applyAlignment="1">
      <x:alignment wrapText="1"/>
    </x:xf>
    <x:xf numFmtId="0" fontId="0" fillId="8" borderId="15" xfId="0" applyNumberFormat="1" applyFont="1" applyFill="1" applyBorder="1" applyAlignment="1">
      <x:alignment wrapText="1"/>
    </x:xf>
    <x:xf numFmtId="0" fontId="0" fillId="8" borderId="16" xfId="0" applyNumberFormat="1" applyFont="1" applyFill="1" applyBorder="1" applyAlignment="1">
      <x:alignment wrapText="1"/>
    </x:xf>
    <x:xf numFmtId="0" fontId="0" fillId="8" borderId="17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0" fillId="9" borderId="1" xfId="0" applyNumberFormat="1" applyFont="1" applyFill="1" applyBorder="1"/>
    <x:xf numFmtId="0" fontId="5" fillId="9" borderId="1" xfId="0" applyNumberFormat="1" applyFont="1" applyFill="1" applyBorder="1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/>
    <x:xf numFmtId="0" fontId="4" fillId="10" borderId="1" xfId="0" applyNumberFormat="1" applyFont="1" applyFill="1" applyBorder="1"/>
    <x:xf numFmtId="0" fontId="4" fillId="10" borderId="1" xfId="0" applyNumberFormat="1" applyFont="1" applyFill="1" applyBorder="1" applyAlignment="1">
      <x:alignment wrapText="1"/>
    </x:xf>
    <x:xf numFmtId="0" fontId="4" fillId="1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13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0" fontId="0" fillId="5" borderId="16" xfId="0" applyNumberFormat="1" applyFont="1" applyFill="1" applyBorder="1" applyAlignment="1">
      <x:alignment wrapText="1"/>
    </x:xf>
    <x:xf numFmtId="0" fontId="0" fillId="5" borderId="17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166534"/>
      </x:font>
      <x:fill>
        <x:patternFill patternType="solid">
          <x:bgColor rgb="FFEAF7EF"/>
        </x:patternFill>
      </x:fill>
    </x:dxf>
    <x:dxf>
      <x:font>
        <x:b/>
        <x:color rgb="FF854D0E"/>
      </x:font>
      <x:fill>
        <x:patternFill patternType="solid">
          <x:bgColor rgb="FFFFF6E5"/>
        </x:patternFill>
      </x:fill>
    </x:dxf>
    <x:dxf>
      <x:font>
        <x:b/>
        <x:color rgb="FF991B1B"/>
      </x:font>
      <x:fill>
        <x:patternFill patternType="solid">
          <x:bgColor rgb="FFFDECEC"/>
        </x:patternFill>
      </x:fill>
    </x:dxf>
    <x:dxf>
      <x:font>
        <x:b/>
        <x:color rgb="FF166534"/>
      </x:font>
      <x:fill>
        <x:patternFill patternType="solid">
          <x:bgColor rgb="FFEAF7EF"/>
        </x:patternFill>
      </x:fill>
    </x:dxf>
    <x:dxf>
      <x:font>
        <x:b/>
        <x:color rgb="FF854D0E"/>
      </x:font>
      <x:fill>
        <x:patternFill patternType="solid">
          <x:bgColor rgb="FFFFF6E5"/>
        </x:patternFill>
      </x:fill>
    </x:dxf>
    <x:dxf>
      <x:font>
        <x:b/>
        <x:color rgb="FF991B1B"/>
      </x:font>
      <x:fill>
        <x:patternFill patternType="solid">
          <x:bgColor rgb="FFFDECEC"/>
        </x:patternFill>
      </x:fill>
    </x:dxf>
    <x:dxf>
      <x:font>
        <x:b/>
        <x:color rgb="FF166534"/>
      </x:font>
      <x:fill>
        <x:patternFill patternType="solid">
          <x:bgColor rgb="FFEAF7EF"/>
        </x:patternFill>
      </x:fill>
    </x:dxf>
    <x:dxf>
      <x:font>
        <x:b/>
        <x:color rgb="FF854D0E"/>
      </x:font>
      <x:fill>
        <x:patternFill patternType="solid">
          <x:bgColor rgb="FFFFF6E5"/>
        </x:patternFill>
      </x:fill>
    </x:dxf>
    <x:dxf>
      <x:font>
        <x:b/>
        <x:color rgb="FF991B1B"/>
      </x:font>
      <x:fill>
        <x:patternFill patternType="solid">
          <x:bgColor rgb="FFFDECEC"/>
        </x:patternFill>
      </x:fill>
    </x:dxf>
    <x:dxf>
      <x:font>
        <x:b/>
        <x:color rgb="FF166534"/>
      </x:font>
      <x:fill>
        <x:patternFill patternType="solid">
          <x:bgColor rgb="FFEAF7EF"/>
        </x:patternFill>
      </x:fill>
    </x:dxf>
    <x:dxf>
      <x:font>
        <x:b/>
        <x:color rgb="FF854D0E"/>
      </x:font>
      <x:fill>
        <x:patternFill patternType="solid">
          <x:bgColor rgb="FFFFF6E5"/>
        </x:patternFill>
      </x:fill>
    </x:dxf>
    <x:dxf>
      <x:font>
        <x:b/>
        <x:color rgb="FF991B1B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09a7084adb4962" /><Relationship Type="http://schemas.openxmlformats.org/officeDocument/2006/relationships/theme" Target="/xl/theme/theme1.xml" Id="Rc56eac6e7ccd4f2b" /><Relationship Type="http://schemas.openxmlformats.org/officeDocument/2006/relationships/sharedStrings" Target="/xl/sharedStrings.xml" Id="R1d00f3f9c03c4fff" /><Relationship Type="http://schemas.openxmlformats.org/officeDocument/2006/relationships/worksheet" Target="/xl/worksheets/sheet1.xml" Id="Rdd68df7cbb7b4a96" /><Relationship Type="http://schemas.openxmlformats.org/officeDocument/2006/relationships/worksheet" Target="/xl/worksheets/sheet2.xml" Id="Rb078b339c9684fc8" /><Relationship Type="http://schemas.openxmlformats.org/officeDocument/2006/relationships/worksheet" Target="/xl/worksheets/sheet3.xml" Id="R79c6be437b154cde" /></Relationships>
</file>

<file path=xl/tables/table1.xml><?xml version="1.0" encoding="utf-8"?>
<x:table xmlns:x="http://schemas.openxmlformats.org/spreadsheetml/2006/main" id="1" name="CoverageV6" displayName="CoverageV6" ref="A4:I50" headerRowCount="1" totalsRowCount="0" totalsRowShown="0">
  <x:tableColumns count="9">
    <x:tableColumn id="1" name="ID"/>
    <x:tableColumn id="2" name="Categoria"/>
    <x:tableColumn id="3" name="Requisito do case"/>
    <x:tableColumn id="4" name="Status anterior"/>
    <x:tableColumn id="5" name="Status atual v6"/>
    <x:tableColumn id="6" name="Evidência no material atual"/>
    <x:tableColumn id="7" name="O que ainda falta / risco"/>
    <x:tableColumn id="8" name="Ação recomendada"/>
    <x:tableColumn id="9" name="Priorida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osingChecklist" displayName="ClosingChecklist" ref="A4:H24" headerRowCount="1" totalsRowCount="0" totalsRowShown="0">
  <x:tableColumns count="8">
    <x:tableColumn id="1" name="#"/>
    <x:tableColumn id="2" name="Item"/>
    <x:tableColumn id="3" name="Tipo"/>
    <x:tableColumn id="4" name="Prioridade"/>
    <x:tableColumn id="5" name="Status anterior"/>
    <x:tableColumn id="6" name="Status atual v6"/>
    <x:tableColumn id="7" name="Evidência atual"/>
    <x:tableColumn id="8" name="Próxima 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484fc8589542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c60588d83d4155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0" hidden="0" customWidth="1"/>
    <x:col min="3" max="3" width="42" hidden="0" customWidth="1"/>
    <x:col min="4" max="4" width="16" hidden="0" customWidth="1"/>
    <x:col min="5" max="5" width="16" hidden="0" customWidth="1"/>
    <x:col min="6" max="6" width="48" hidden="0" customWidth="1"/>
    <x:col min="7" max="7" width="46" hidden="0" customWidth="1"/>
    <x:col min="8" max="8" width="46" hidden="0" customWidth="1"/>
    <x:col min="9" max="9" width="12" hidden="0" customWidth="1"/>
  </x:cols>
  <x:sheetData>
    <x:row r="1" ht="30" customHeight="1">
      <x:c r="A1" s="4" t="str">
        <x:v>Checklist atualizado — aderência ao case original (PPT v6)</x:v>
      </x:c>
    </x:row>
    <x:row r="2" ht="36" customHeight="1">
      <x:c r="A2" s="10" t="str">
        <x:v>Revisão completa incluindo itens já concluídos. Status atual avaliado contra o enunciado original e a versão v6 do PPT.</x:v>
      </x:c>
    </x:row>
    <x:row r="4" ht="38" customHeight="1">
      <x:c r="A4" s="28" t="str">
        <x:v>ID</x:v>
      </x:c>
      <x:c r="B4" s="29" t="str">
        <x:v>Categoria</x:v>
      </x:c>
      <x:c r="C4" s="29" t="str">
        <x:v>Requisito do case</x:v>
      </x:c>
      <x:c r="D4" s="29" t="str">
        <x:v>Status anterior</x:v>
      </x:c>
      <x:c r="E4" s="29" t="str">
        <x:v>Status atual v6</x:v>
      </x:c>
      <x:c r="F4" s="29" t="str">
        <x:v>Evidência no material atual</x:v>
      </x:c>
      <x:c r="G4" s="29" t="str">
        <x:v>O que ainda falta / risco</x:v>
      </x:c>
      <x:c r="H4" s="29" t="str">
        <x:v>Ação recomendada</x:v>
      </x:c>
      <x:c r="I4" s="30" t="str">
        <x:v>Prioridade</x:v>
      </x:c>
    </x:row>
    <x:row r="5" ht="62" customHeight="1">
      <x:c r="A5" s="44" t="n">
        <x:v>1</x:v>
      </x:c>
      <x:c r="B5" s="45" t="str">
        <x:v>Entrega principal</x:v>
      </x:c>
      <x:c r="C5" s="45" t="str">
        <x:v>Plano executável para os primeiros 180 dias</x:v>
      </x:c>
      <x:c r="D5" s="45" t="str">
        <x:v>Coberto</x:v>
      </x:c>
      <x:c r="E5" s="45" t="str">
        <x:v>Atendido</x:v>
      </x:c>
      <x:c r="F5" s="45" t="str">
        <x:v>Slide 1 organiza 4 ondas: 0–30, 31–60, 61–90 e 91–180 dias, com marcos D30/D90/D180.</x:v>
      </x:c>
      <x:c r="G5" s="45" t="str">
        <x:v>Sem gap relevante.</x:v>
      </x:c>
      <x:c r="H5" s="45" t="str">
        <x:v>Manter como está.</x:v>
      </x:c>
      <x:c r="I5" s="46" t="str">
        <x:v>Crítica</x:v>
      </x:c>
    </x:row>
    <x:row r="6" ht="62" customHeight="1">
      <x:c r="A6" s="50" t="n">
        <x:v>2</x:v>
      </x:c>
      <x:c r="B6" s="51" t="str">
        <x:v>Negócio</x:v>
      </x:c>
      <x:c r="C6" s="51" t="str">
        <x:v>Gerar melhora reconhecida pelo Negócio em 6 meses</x:v>
      </x:c>
      <x:c r="D6" s="51" t="str">
        <x:v>Não mapeado</x:v>
      </x:c>
      <x:c r="E6" s="51" t="str">
        <x:v>Atendido</x:v>
      </x:c>
      <x:c r="F6" s="51" t="str">
        <x:v>Slide 1 traz quick wins/evidência de valor no D90, previsibilidade, custo, risco e resultados esperados.</x:v>
      </x:c>
      <x:c r="G6" s="51" t="str">
        <x:v>Pode ficar ainda mais forte se houver 1 frase explícita sobre percepção do negócio, mas não é bloqueio.</x:v>
      </x:c>
      <x:c r="H6" s="51" t="str">
        <x:v>Opcional: reforçar oralmente que os gates serão pactuados com Negócio/consumidores.</x:v>
      </x:c>
      <x:c r="I6" s="52" t="str">
        <x:v>Alta</x:v>
      </x:c>
    </x:row>
    <x:row r="7" ht="62" customHeight="1">
      <x:c r="A7" s="44" t="n">
        <x:v>3</x:v>
      </x:c>
      <x:c r="B7" s="45" t="str">
        <x:v>Autenticidade</x:v>
      </x:c>
      <x:c r="C7" s="45" t="str">
        <x:v>Trazer exemplos concretos de como já aplica isso no dia a dia</x:v>
      </x:c>
      <x:c r="D7" s="45" t="str">
        <x:v>Parcial</x:v>
      </x:c>
      <x:c r="E7" s="45" t="str">
        <x:v>Atendido</x:v>
      </x:c>
      <x:c r="F7" s="45" t="str">
        <x:v>Slide 3 traz 5 exemplos reais em Cenário → Ação → Evidência.</x:v>
      </x:c>
      <x:c r="G7" s="45" t="str">
        <x:v>Algumas evidências são qualitativas, sem números. Isso é aceitável, mas exige segurança na defesa oral.</x:v>
      </x:c>
      <x:c r="H7" s="45" t="str">
        <x:v>Preparar 1–2 fatos concretos por exemplo principal para perguntas de aprofundamento.</x:v>
      </x:c>
      <x:c r="I7" s="46" t="str">
        <x:v>Crítica</x:v>
      </x:c>
    </x:row>
    <x:row r="8" ht="62" customHeight="1">
      <x:c r="A8" s="50" t="n">
        <x:v>4</x:v>
      </x:c>
      <x:c r="B8" s="51" t="str">
        <x:v>Diferencial</x:v>
      </x:c>
      <x:c r="C8" s="51" t="str">
        <x:v>Mostrar como será peça diferencial para objetivos da Comunidade e do CIO9</x:v>
      </x:c>
      <x:c r="D8" s="51" t="str">
        <x:v>Não mapeado</x:v>
      </x:c>
      <x:c r="E8" s="51" t="str">
        <x:v>Parcial</x:v>
      </x:c>
      <x:c r="F8" s="51" t="str">
        <x:v>O material demonstra liderança, autonomia, governança, FinOps, IA e modernização, mas não explicita a contribuição à Comunidade/CIO9.</x:v>
      </x:c>
      <x:c r="G8" s="51" t="str">
        <x:v>É um pedido explícito do case e hoje aparece apenas de forma implícita.</x:v>
      </x:c>
      <x:c r="H8" s="51" t="str">
        <x:v>Adicionar 1 frase curta no slide 2 ou na fala: escalar práticas, formar pessoas e compartilhar aprendizados além da Squad.</x:v>
      </x:c>
      <x:c r="I8" s="52" t="str">
        <x:v>Crítica</x:v>
      </x:c>
    </x:row>
    <x:row r="9" ht="62" customHeight="1">
      <x:c r="A9" s="44" t="n">
        <x:v>5</x:v>
      </x:c>
      <x:c r="B9" s="45" t="str">
        <x:v>Organização</x:v>
      </x:c>
      <x:c r="C9" s="45" t="str">
        <x:v>Apresentar escolhas</x:v>
      </x:c>
      <x:c r="D9" s="45" t="str">
        <x:v>Coberto</x:v>
      </x:c>
      <x:c r="E9" s="45" t="str">
        <x:v>Atendido</x:v>
      </x:c>
      <x:c r="F9" s="45" t="str">
        <x:v>Slide 2 tem bloco 'Escolhas de foco'.</x:v>
      </x:c>
      <x:c r="G9" s="45" t="str">
        <x:v>Sem gap relevante.</x:v>
      </x:c>
      <x:c r="H9" s="45" t="str">
        <x:v>Manter.</x:v>
      </x:c>
      <x:c r="I9" s="46" t="str">
        <x:v>Crítica</x:v>
      </x:c>
    </x:row>
    <x:row r="10" ht="62" customHeight="1">
      <x:c r="A10" s="50" t="n">
        <x:v>6</x:v>
      </x:c>
      <x:c r="B10" s="51" t="str">
        <x:v>Organização</x:v>
      </x:c>
      <x:c r="C10" s="51" t="str">
        <x:v>Apresentar responsáveis / ownership</x:v>
      </x:c>
      <x:c r="D10" s="51" t="str">
        <x:v>Coberto</x:v>
      </x:c>
      <x:c r="E10" s="51" t="str">
        <x:v>Atendido</x:v>
      </x:c>
      <x:c r="F10" s="51" t="str">
        <x:v>Slide 2 distribui owners por papel para pessoas, operação, modernização, consumidores, IA e fornecedor.</x:v>
      </x:c>
      <x:c r="G10" s="51" t="str">
        <x:v>Sem gap relevante.</x:v>
      </x:c>
      <x:c r="H10" s="51" t="str">
        <x:v>Manter.</x:v>
      </x:c>
      <x:c r="I10" s="52" t="str">
        <x:v>Alta</x:v>
      </x:c>
    </x:row>
    <x:row r="11" ht="62" customHeight="1">
      <x:c r="A11" s="44" t="n">
        <x:v>7</x:v>
      </x:c>
      <x:c r="B11" s="45" t="str">
        <x:v>Organização</x:v>
      </x:c>
      <x:c r="C11" s="45" t="str">
        <x:v>Apresentar dependências</x:v>
      </x:c>
      <x:c r="D11" s="45" t="str">
        <x:v>Coberto</x:v>
      </x:c>
      <x:c r="E11" s="45" t="str">
        <x:v>Atendido</x:v>
      </x:c>
      <x:c r="F11" s="45" t="str">
        <x:v>Slide 1 mapeia jornadas, consumidores, fornecedor, mensageria, AWS e legados; slide 2 traz trade-offs e owners.</x:v>
      </x:c>
      <x:c r="G11" s="45" t="str">
        <x:v>Sem gap relevante.</x:v>
      </x:c>
      <x:c r="H11" s="45" t="str">
        <x:v>Manter.</x:v>
      </x:c>
      <x:c r="I11" s="46" t="str">
        <x:v>Alta</x:v>
      </x:c>
    </x:row>
    <x:row r="12" ht="62" customHeight="1">
      <x:c r="A12" s="50" t="n">
        <x:v>8</x:v>
      </x:c>
      <x:c r="B12" s="51" t="str">
        <x:v>Organização</x:v>
      </x:c>
      <x:c r="C12" s="51" t="str">
        <x:v>Apresentar renúncias</x:v>
      </x:c>
      <x:c r="D12" s="51" t="str">
        <x:v>Coberto</x:v>
      </x:c>
      <x:c r="E12" s="51" t="str">
        <x:v>Atendido</x:v>
      </x:c>
      <x:c r="F12" s="51" t="str">
        <x:v>Slide 2 lista renúncias explícitas: não modernizar tudo, não aceitar tudo como prioridade, não centralizar decisões, etc.</x:v>
      </x:c>
      <x:c r="G12" s="51" t="str">
        <x:v>Sem gap relevante.</x:v>
      </x:c>
      <x:c r="H12" s="51" t="str">
        <x:v>Manter.</x:v>
      </x:c>
      <x:c r="I12" s="52" t="str">
        <x:v>Crítica</x:v>
      </x:c>
    </x:row>
    <x:row r="13" ht="62" customHeight="1">
      <x:c r="A13" s="44" t="n">
        <x:v>9</x:v>
      </x:c>
      <x:c r="B13" s="45" t="str">
        <x:v>Organização</x:v>
      </x:c>
      <x:c r="C13" s="45" t="str">
        <x:v>Apresentar indicadores</x:v>
      </x:c>
      <x:c r="D13" s="45" t="str">
        <x:v>Coberto</x:v>
      </x:c>
      <x:c r="E13" s="45" t="str">
        <x:v>Atendido</x:v>
      </x:c>
      <x:c r="F13" s="45" t="str">
        <x:v>Slide 2 separa baseline D30, tendência D90 e resultado D180.</x:v>
      </x:c>
      <x:c r="G13" s="45" t="str">
        <x:v>Metas quantitativas só devem ser definidas após baseline, o que está coerente.</x:v>
      </x:c>
      <x:c r="H13" s="45" t="str">
        <x:v>Manter a lógica 'baseline primeiro'.</x:v>
      </x:c>
      <x:c r="I13" s="46" t="str">
        <x:v>Crítica</x:v>
      </x:c>
    </x:row>
    <x:row r="14" ht="62" customHeight="1">
      <x:c r="A14" s="50" t="n">
        <x:v>10</x:v>
      </x:c>
      <x:c r="B14" s="51" t="str">
        <x:v>Organização</x:v>
      </x:c>
      <x:c r="C14" s="51" t="str">
        <x:v>Apresentar evidências de avanço</x:v>
      </x:c>
      <x:c r="D14" s="51" t="str">
        <x:v>Coberto</x:v>
      </x:c>
      <x:c r="E14" s="51" t="str">
        <x:v>Atendido</x:v>
      </x:c>
      <x:c r="F14" s="51" t="str">
        <x:v>Gates D30/D90/D180 e coluna de evidência por owner tornam o avanço verificável.</x:v>
      </x:c>
      <x:c r="G14" s="51" t="str">
        <x:v>Sem gap relevante.</x:v>
      </x:c>
      <x:c r="H14" s="51" t="str">
        <x:v>Manter.</x:v>
      </x:c>
      <x:c r="I14" s="52" t="str">
        <x:v>Crítica</x:v>
      </x:c>
    </x:row>
    <x:row r="15" ht="62" customHeight="1">
      <x:c r="A15" s="44" t="n">
        <x:v>11</x:v>
      </x:c>
      <x:c r="B15" s="45" t="str">
        <x:v>Frente 1</x:v>
      </x:c>
      <x:c r="C15" s="45" t="str">
        <x:v>Pessoas, capacidade e IA</x:v>
      </x:c>
      <x:c r="D15" s="45" t="str">
        <x:v>Coberto</x:v>
      </x:c>
      <x:c r="E15" s="45" t="str">
        <x:v>Atendido</x:v>
      </x:c>
      <x:c r="F15" s="45" t="str">
        <x:v>Slide 1 cobre papéis, skills, capacidade, Run x Change x Modernização, owners, sucessão, IA e autonomia.</x:v>
      </x:c>
      <x:c r="G15" s="45" t="str">
        <x:v>Sem gap relevante.</x:v>
      </x:c>
      <x:c r="H15" s="45" t="str">
        <x:v>Manter.</x:v>
      </x:c>
      <x:c r="I15" s="46" t="str">
        <x:v>Crítica</x:v>
      </x:c>
    </x:row>
    <x:row r="16" ht="62" customHeight="1">
      <x:c r="A16" s="50" t="n">
        <x:v>12</x:v>
      </x:c>
      <x:c r="B16" s="51" t="str">
        <x:v>Frente 1</x:v>
      </x:c>
      <x:c r="C16" s="51" t="str">
        <x:v>Reorganizar demandas apesar da sobrecarga</x:v>
      </x:c>
      <x:c r="D16" s="51" t="str">
        <x:v>Coberto</x:v>
      </x:c>
      <x:c r="E16" s="51" t="str">
        <x:v>Atendido</x:v>
      </x:c>
      <x:c r="F16" s="51" t="str">
        <x:v>Slide 2: capacidade real antes de nova demanda; trade-offs explícitos; slide 3 traz MVPs e renúncia.</x:v>
      </x:c>
      <x:c r="G16" s="51" t="str">
        <x:v>Sem gap relevante.</x:v>
      </x:c>
      <x:c r="H16" s="51" t="str">
        <x:v>Manter.</x:v>
      </x:c>
      <x:c r="I16" s="52" t="str">
        <x:v>Alta</x:v>
      </x:c>
    </x:row>
    <x:row r="17" ht="62" customHeight="1">
      <x:c r="A17" s="44" t="n">
        <x:v>13</x:v>
      </x:c>
      <x:c r="B17" s="45" t="str">
        <x:v>Frente 1</x:v>
      </x:c>
      <x:c r="C17" s="45" t="str">
        <x:v>Engajar o time e distribuir problemas reais</x:v>
      </x:c>
      <x:c r="D17" s="45" t="str">
        <x:v>Coberto</x:v>
      </x:c>
      <x:c r="E17" s="45" t="str">
        <x:v>Atendido</x:v>
      </x:c>
      <x:c r="F17" s="45" t="str">
        <x:v>Slide 1 traz owners/backups; slide 3 mostra rotação de assuntos, donos por demanda e sucessão.</x:v>
      </x:c>
      <x:c r="G17" s="45" t="str">
        <x:v>Sem gap relevante.</x:v>
      </x:c>
      <x:c r="H17" s="45" t="str">
        <x:v>Manter.</x:v>
      </x:c>
      <x:c r="I17" s="46" t="str">
        <x:v>Alta</x:v>
      </x:c>
    </x:row>
    <x:row r="18" ht="62" customHeight="1">
      <x:c r="A18" s="50" t="n">
        <x:v>14</x:v>
      </x:c>
      <x:c r="B18" s="51" t="str">
        <x:v>Frente 1</x:v>
      </x:c>
      <x:c r="C18" s="51" t="str">
        <x:v>Criar experimentos pequenos de IA</x:v>
      </x:c>
      <x:c r="D18" s="51" t="str">
        <x:v>Coberto</x:v>
      </x:c>
      <x:c r="E18" s="51" t="str">
        <x:v>Atendido</x:v>
      </x:c>
      <x:c r="F18" s="51" t="str">
        <x:v>Slide 1: piloto em problema real com métrica; slide 2: owner do time e não escalar sem evidência.</x:v>
      </x:c>
      <x:c r="G18" s="51" t="str">
        <x:v>Sem gap relevante.</x:v>
      </x:c>
      <x:c r="H18" s="51" t="str">
        <x:v>Manter.</x:v>
      </x:c>
      <x:c r="I18" s="52" t="str">
        <x:v>Alta</x:v>
      </x:c>
    </x:row>
    <x:row r="19" ht="62" customHeight="1">
      <x:c r="A19" s="44" t="n">
        <x:v>15</x:v>
      </x:c>
      <x:c r="B19" s="45" t="str">
        <x:v>Frente 2</x:v>
      </x:c>
      <x:c r="C19" s="45" t="str">
        <x:v>Reduzir incidentes</x:v>
      </x:c>
      <x:c r="D19" s="45" t="str">
        <x:v>Coberto</x:v>
      </x:c>
      <x:c r="E19" s="45" t="str">
        <x:v>Atendido</x:v>
      </x:c>
      <x:c r="F19" s="45" t="str">
        <x:v>Slide 1 traz incidentes recorrentes, rotina de incidentes/problemas, post-mortem e resiliência.</x:v>
      </x:c>
      <x:c r="G19" s="45" t="str">
        <x:v>Sem gap relevante.</x:v>
      </x:c>
      <x:c r="H19" s="45" t="str">
        <x:v>Manter.</x:v>
      </x:c>
      <x:c r="I19" s="46" t="str">
        <x:v>Alta</x:v>
      </x:c>
    </x:row>
    <x:row r="20" ht="62" customHeight="1">
      <x:c r="A20" s="50" t="n">
        <x:v>16</x:v>
      </x:c>
      <x:c r="B20" s="51" t="str">
        <x:v>Frente 2</x:v>
      </x:c>
      <x:c r="C20" s="51" t="str">
        <x:v>Criar monitoramento técnico das jornadas</x:v>
      </x:c>
      <x:c r="D20" s="51" t="str">
        <x:v>Coberto</x:v>
      </x:c>
      <x:c r="E20" s="51" t="str">
        <x:v>Atendido</x:v>
      </x:c>
      <x:c r="F20" s="51" t="str">
        <x:v>SLOs/SLAs, dashboards, alertas, logs, métricas, traces e observabilidade ponta a ponta.</x:v>
      </x:c>
      <x:c r="G20" s="51" t="str">
        <x:v>Sem gap relevante.</x:v>
      </x:c>
      <x:c r="H20" s="51" t="str">
        <x:v>Manter.</x:v>
      </x:c>
      <x:c r="I20" s="52" t="str">
        <x:v>Alta</x:v>
      </x:c>
    </x:row>
    <x:row r="21" ht="62" customHeight="1">
      <x:c r="A21" s="44" t="n">
        <x:v>17</x:v>
      </x:c>
      <x:c r="B21" s="45" t="str">
        <x:v>Frente 2</x:v>
      </x:c>
      <x:c r="C21" s="45" t="str">
        <x:v>Criar monitoramento funcional das jornadas</x:v>
      </x:c>
      <x:c r="D21" s="45" t="str">
        <x:v>Parcial</x:v>
      </x:c>
      <x:c r="E21" s="45" t="str">
        <x:v>Parcial</x:v>
      </x:c>
      <x:c r="F21" s="45" t="str">
        <x:v>O material fala em jornadas críticas e observabilidade ponta a ponta, mas a dimensão funcional de negócio não está nomeada.</x:v>
      </x:c>
      <x:c r="G21" s="45" t="str">
        <x:v>A banca pode perguntar como saber se a jornada de negócio está saudável mesmo com infraestrutura 'verde'.</x:v>
      </x:c>
      <x:c r="H21" s="45" t="str">
        <x:v>Adicionar discretamente 'indicadores técnicos + funcionais da jornada' em um bullet de observabilidade.</x:v>
      </x:c>
      <x:c r="I21" s="46" t="str">
        <x:v>Alta</x:v>
      </x:c>
    </x:row>
    <x:row r="22" ht="62" customHeight="1">
      <x:c r="A22" s="50" t="n">
        <x:v>18</x:v>
      </x:c>
      <x:c r="B22" s="51" t="str">
        <x:v>Frente 3</x:v>
      </x:c>
      <x:c r="C22" s="51" t="str">
        <x:v>Avançar no monólito / modernização</x:v>
      </x:c>
      <x:c r="D22" s="51" t="str">
        <x:v>Coberto</x:v>
      </x:c>
      <x:c r="E22" s="51" t="str">
        <x:v>Atendido</x:v>
      </x:c>
      <x:c r="F22" s="51" t="str">
        <x:v>Modernização por ondas, priorização por valor/risco/esforço e entregas iniciais estão explícitas.</x:v>
      </x:c>
      <x:c r="G22" s="51" t="str">
        <x:v>Sem gap relevante.</x:v>
      </x:c>
      <x:c r="H22" s="51" t="str">
        <x:v>Manter.</x:v>
      </x:c>
      <x:c r="I22" s="52" t="str">
        <x:v>Alta</x:v>
      </x:c>
    </x:row>
    <x:row r="23" ht="62" customHeight="1">
      <x:c r="A23" s="44" t="n">
        <x:v>19</x:v>
      </x:c>
      <x:c r="B23" s="45" t="str">
        <x:v>Frente 3</x:v>
      </x:c>
      <x:c r="C23" s="45" t="str">
        <x:v>Reduzir custos AWS / FinOps</x:v>
      </x:c>
      <x:c r="D23" s="45" t="str">
        <x:v>Coberto</x:v>
      </x:c>
      <x:c r="E23" s="45" t="str">
        <x:v>Atendido</x:v>
      </x:c>
      <x:c r="F23" s="45" t="str">
        <x:v>Mapa de custos, right sizing, cortes de desperdício, política FinOps, baseline e ganhos mensuráveis.</x:v>
      </x:c>
      <x:c r="G23" s="45" t="str">
        <x:v>O plano é bom; a única lacuna está na pergunta de autenticidade sobre qual custo atacar primeiro.</x:v>
      </x:c>
      <x:c r="H23" s="45" t="str">
        <x:v>Manter; complementar a resposta oral para a pergunta de autenticidade.</x:v>
      </x:c>
      <x:c r="I23" s="46" t="str">
        <x:v>Alta</x:v>
      </x:c>
    </x:row>
    <x:row r="24" ht="62" customHeight="1">
      <x:c r="A24" s="50" t="n">
        <x:v>20</x:v>
      </x:c>
      <x:c r="B24" s="51" t="str">
        <x:v>Frente 3</x:v>
      </x:c>
      <x:c r="C24" s="51" t="str">
        <x:v>Garantir desligamento do legado até 2028</x:v>
      </x:c>
      <x:c r="D24" s="51" t="str">
        <x:v>Coberto</x:v>
      </x:c>
      <x:c r="E24" s="51" t="str">
        <x:v>Atendido</x:v>
      </x:c>
      <x:c r="F24" s="51" t="str">
        <x:v>Roadmap macro 2028, plano de retirada validado, roadmap protegido e owner de modernização/FinOps.</x:v>
      </x:c>
      <x:c r="G24" s="51" t="str">
        <x:v>O mecanismo está presente. Pode reforçar que novas decisões não devem ampliar dependência do legado.</x:v>
      </x:c>
      <x:c r="H24" s="51" t="str">
        <x:v>Opcional: citar oralmente guardrail de não aumentar o legado.</x:v>
      </x:c>
      <x:c r="I24" s="52" t="str">
        <x:v>Alta</x:v>
      </x:c>
    </x:row>
    <x:row r="25" ht="62" customHeight="1">
      <x:c r="A25" s="44" t="n">
        <x:v>21</x:v>
      </x:c>
      <x:c r="B25" s="45" t="str">
        <x:v>Frente 4</x:v>
      </x:c>
      <x:c r="C25" s="45" t="str">
        <x:v>Alinhar prioridades e compromissos com áreas consumidoras</x:v>
      </x:c>
      <x:c r="D25" s="45" t="str">
        <x:v>Coberto</x:v>
      </x:c>
      <x:c r="E25" s="45" t="str">
        <x:v>Atendido</x:v>
      </x:c>
      <x:c r="F25" s="45" t="str">
        <x:v>Mapeamento de consumidores, roadmap compartilhado, trade-offs, compromissos previsíveis e governança.</x:v>
      </x:c>
      <x:c r="G25" s="45" t="str">
        <x:v>Sem gap relevante.</x:v>
      </x:c>
      <x:c r="H25" s="45" t="str">
        <x:v>Manter.</x:v>
      </x:c>
      <x:c r="I25" s="46" t="str">
        <x:v>Alta</x:v>
      </x:c>
    </x:row>
    <x:row r="26" ht="62" customHeight="1">
      <x:c r="A26" s="50" t="n">
        <x:v>22</x:v>
      </x:c>
      <x:c r="B26" s="51" t="str">
        <x:v>Frente 4</x:v>
      </x:c>
      <x:c r="C26" s="51" t="str">
        <x:v>Definir escalonamentos com áreas consumidoras</x:v>
      </x:c>
      <x:c r="D26" s="51" t="str">
        <x:v>Coberto</x:v>
      </x:c>
      <x:c r="E26" s="51" t="str">
        <x:v>Atendido</x:v>
      </x:c>
      <x:c r="F26" s="51" t="str">
        <x:v>Slide 1 traz critérios claros de escalonamento; slide 2 define owners e governança.</x:v>
      </x:c>
      <x:c r="G26" s="51" t="str">
        <x:v>Sem gap relevante.</x:v>
      </x:c>
      <x:c r="H26" s="51" t="str">
        <x:v>Manter.</x:v>
      </x:c>
      <x:c r="I26" s="52" t="str">
        <x:v>Alta</x:v>
      </x:c>
    </x:row>
    <x:row r="27" ht="62" customHeight="1">
      <x:c r="A27" s="44" t="n">
        <x:v>23</x:v>
      </x:c>
      <x:c r="B27" s="45" t="str">
        <x:v>Frente 4</x:v>
      </x:c>
      <x:c r="C27" s="45" t="str">
        <x:v>Negociar conflitos com fornecedor</x:v>
      </x:c>
      <x:c r="D27" s="45" t="str">
        <x:v>Coberto</x:v>
      </x:c>
      <x:c r="E27" s="45" t="str">
        <x:v>Parcial</x:v>
      </x:c>
      <x:c r="F27" s="45" t="str">
        <x:v>Slide 1/2 traz alinhamento, relação produtiva, owner técnico e rito de escalonamento.</x:v>
      </x:c>
      <x:c r="G27" s="45" t="str">
        <x:v>O case pede evidência de conflito com fornecedor; hoje há abordagem de plano, mas não exemplo concreto da atuação atual.</x:v>
      </x:c>
      <x:c r="H27" s="45" t="str">
        <x:v>Preparar um exemplo oral real de negociação/conflito com parceiro/fornecedor ou deixar claro o rito de decisão.</x:v>
      </x:c>
      <x:c r="I27" s="46" t="str">
        <x:v>Alta</x:v>
      </x:c>
    </x:row>
    <x:row r="28" ht="62" customHeight="1">
      <x:c r="A28" s="50" t="n">
        <x:v>24</x:v>
      </x:c>
      <x:c r="B28" s="51" t="str">
        <x:v>Frente 5</x:v>
      </x:c>
      <x:c r="C28" s="51" t="str">
        <x:v>Transformar KRs em roadmap coletivo</x:v>
      </x:c>
      <x:c r="D28" s="51" t="str">
        <x:v>Coberto</x:v>
      </x:c>
      <x:c r="E28" s="51" t="str">
        <x:v>Atendido</x:v>
      </x:c>
      <x:c r="F28" s="51" t="str">
        <x:v>Slide 1: traduzir KRs em plano de 180 dias, roadmap compartilhado e gates.</x:v>
      </x:c>
      <x:c r="G28" s="51" t="str">
        <x:v>Sem gap relevante.</x:v>
      </x:c>
      <x:c r="H28" s="51" t="str">
        <x:v>Manter.</x:v>
      </x:c>
      <x:c r="I28" s="52" t="str">
        <x:v>Alta</x:v>
      </x:c>
    </x:row>
    <x:row r="29" ht="62" customHeight="1">
      <x:c r="A29" s="44" t="n">
        <x:v>25</x:v>
      </x:c>
      <x:c r="B29" s="45" t="str">
        <x:v>Frente 5</x:v>
      </x:c>
      <x:c r="C29" s="45" t="str">
        <x:v>Formar sucessores</x:v>
      </x:c>
      <x:c r="D29" s="45" t="str">
        <x:v>Parcial</x:v>
      </x:c>
      <x:c r="E29" s="45" t="str">
        <x:v>Atendido</x:v>
      </x:c>
      <x:c r="F29" s="45" t="str">
        <x:v>Slide 1 e slide 3 tratam owners, backups, potenciais sucessores e liderança distribuída.</x:v>
      </x:c>
      <x:c r="G29" s="45" t="str">
        <x:v>Sem gap relevante.</x:v>
      </x:c>
      <x:c r="H29" s="45" t="str">
        <x:v>Manter.</x:v>
      </x:c>
      <x:c r="I29" s="46" t="str">
        <x:v>Crítica</x:v>
      </x:c>
    </x:row>
    <x:row r="30" ht="62" customHeight="1">
      <x:c r="A30" s="50" t="n">
        <x:v>26</x:v>
      </x:c>
      <x:c r="B30" s="51" t="str">
        <x:v>Frente 5</x:v>
      </x:c>
      <x:c r="C30" s="51" t="str">
        <x:v>Ampliar decisões tomadas pelo time sem a coordenação</x:v>
      </x:c>
      <x:c r="D30" s="51" t="str">
        <x:v>Coberto</x:v>
      </x:c>
      <x:c r="E30" s="51" t="str">
        <x:v>Atendido</x:v>
      </x:c>
      <x:c r="F30" s="51" t="str">
        <x:v>Slide 3 lista explicitamente decisões que o time deve tomar sem você ao final de 180 dias.</x:v>
      </x:c>
      <x:c r="G30" s="51" t="str">
        <x:v>Sem gap relevante.</x:v>
      </x:c>
      <x:c r="H30" s="51" t="str">
        <x:v>Manter.</x:v>
      </x:c>
      <x:c r="I30" s="52" t="str">
        <x:v>Crítica</x:v>
      </x:c>
    </x:row>
    <x:row r="31" ht="62" customHeight="1">
      <x:c r="A31" s="44" t="n">
        <x:v>27</x:v>
      </x:c>
      <x:c r="B31" s="45" t="str">
        <x:v>Avaliação</x:v>
      </x:c>
      <x:c r="C31" s="45" t="str">
        <x:v>Liderança humanizada e protagonista</x:v>
      </x:c>
      <x:c r="D31" s="45" t="str">
        <x:v>Não mapeado</x:v>
      </x:c>
      <x:c r="E31" s="45" t="str">
        <x:v>Atendido</x:v>
      </x:c>
      <x:c r="F31" s="45" t="str">
        <x:v>Slide 3 traz desenvolvimento, performance, conversas difíceis, sucessão e autonomia.</x:v>
      </x:c>
      <x:c r="G31" s="45" t="str">
        <x:v>Sem gap relevante.</x:v>
      </x:c>
      <x:c r="H31" s="45" t="str">
        <x:v>Manter a fala equilibrando cobrança e desenvolvimento.</x:v>
      </x:c>
      <x:c r="I31" s="46" t="str">
        <x:v>Alta</x:v>
      </x:c>
    </x:row>
    <x:row r="32" ht="62" customHeight="1">
      <x:c r="A32" s="50" t="n">
        <x:v>28</x:v>
      </x:c>
      <x:c r="B32" s="51" t="str">
        <x:v>Avaliação</x:v>
      </x:c>
      <x:c r="C32" s="51" t="str">
        <x:v>Problemas resolvidos pelo time</x:v>
      </x:c>
      <x:c r="D32" s="51" t="str">
        <x:v>Coberto</x:v>
      </x:c>
      <x:c r="E32" s="51" t="str">
        <x:v>Atendido</x:v>
      </x:c>
      <x:c r="F32" s="51" t="str">
        <x:v>Delegação progressiva, owners, fóruns do time e menor centralização aparecem nos slides 1–3.</x:v>
      </x:c>
      <x:c r="G32" s="51" t="str">
        <x:v>Sem gap relevante.</x:v>
      </x:c>
      <x:c r="H32" s="51" t="str">
        <x:v>Manter.</x:v>
      </x:c>
      <x:c r="I32" s="52" t="str">
        <x:v>Alta</x:v>
      </x:c>
    </x:row>
    <x:row r="33" ht="62" customHeight="1">
      <x:c r="A33" s="44" t="n">
        <x:v>29</x:v>
      </x:c>
      <x:c r="B33" s="45" t="str">
        <x:v>Avaliação</x:v>
      </x:c>
      <x:c r="C33" s="45" t="str">
        <x:v>Delegação com contexto e limites</x:v>
      </x:c>
      <x:c r="D33" s="45" t="str">
        <x:v>Coberto</x:v>
      </x:c>
      <x:c r="E33" s="45" t="str">
        <x:v>Atendido</x:v>
      </x:c>
      <x:c r="F33" s="45" t="str">
        <x:v>Slide 1 traz delegação progressiva com contexto e limites; slide 2 define owners e papéis.</x:v>
      </x:c>
      <x:c r="G33" s="45" t="str">
        <x:v>Sem gap relevante.</x:v>
      </x:c>
      <x:c r="H33" s="45" t="str">
        <x:v>Manter.</x:v>
      </x:c>
      <x:c r="I33" s="46" t="str">
        <x:v>Crítica</x:v>
      </x:c>
    </x:row>
    <x:row r="34" ht="62" customHeight="1">
      <x:c r="A34" s="50" t="n">
        <x:v>30</x:v>
      </x:c>
      <x:c r="B34" s="51" t="str">
        <x:v>Avaliação</x:v>
      </x:c>
      <x:c r="C34" s="51" t="str">
        <x:v>Modernização com visão realista</x:v>
      </x:c>
      <x:c r="D34" s="51" t="str">
        <x:v>Coberto</x:v>
      </x:c>
      <x:c r="E34" s="51" t="str">
        <x:v>Atendido</x:v>
      </x:c>
      <x:c r="F34" s="51" t="str">
        <x:v>Ondas, prioridades, renúncias, roadmap 2028 e FinOps evitam uma proposta de reescrita total.</x:v>
      </x:c>
      <x:c r="G34" s="51" t="str">
        <x:v>Sem gap relevante.</x:v>
      </x:c>
      <x:c r="H34" s="51" t="str">
        <x:v>Manter.</x:v>
      </x:c>
      <x:c r="I34" s="52" t="str">
        <x:v>Alta</x:v>
      </x:c>
    </x:row>
    <x:row r="35" ht="62" customHeight="1">
      <x:c r="A35" s="44" t="n">
        <x:v>31</x:v>
      </x:c>
      <x:c r="B35" s="45" t="str">
        <x:v>Avaliação</x:v>
      </x:c>
      <x:c r="C35" s="45" t="str">
        <x:v>Decisões orientadas por dados</x:v>
      </x:c>
      <x:c r="D35" s="45" t="str">
        <x:v>Coberto</x:v>
      </x:c>
      <x:c r="E35" s="45" t="str">
        <x:v>Atendido</x:v>
      </x:c>
      <x:c r="F35" s="45" t="str">
        <x:v>Baseline, indicadores, evidência de valor, custos, SLOs e métricas aparecem de forma transversal.</x:v>
      </x:c>
      <x:c r="G35" s="45" t="str">
        <x:v>Sem gap relevante.</x:v>
      </x:c>
      <x:c r="H35" s="45" t="str">
        <x:v>Manter.</x:v>
      </x:c>
      <x:c r="I35" s="46" t="str">
        <x:v>Alta</x:v>
      </x:c>
    </x:row>
    <x:row r="36" ht="62" customHeight="1">
      <x:c r="A36" s="50" t="n">
        <x:v>32</x:v>
      </x:c>
      <x:c r="B36" s="51" t="str">
        <x:v>Avaliação</x:v>
      </x:c>
      <x:c r="C36" s="51" t="str">
        <x:v>Parceria e conflito produtivo</x:v>
      </x:c>
      <x:c r="D36" s="51" t="str">
        <x:v>Coberto</x:v>
      </x:c>
      <x:c r="E36" s="51" t="str">
        <x:v>Atendido</x:v>
      </x:c>
      <x:c r="F36" s="51" t="str">
        <x:v>Trade-offs, critérios de escalonamento, governança com consumidores e fornecedor e conversa difícil de performance.</x:v>
      </x:c>
      <x:c r="G36" s="51" t="str">
        <x:v>Para fornecedor, ainda vale preparar exemplo oral concreto.</x:v>
      </x:c>
      <x:c r="H36" s="51" t="str">
        <x:v>Manter no material; reforçar na preparação oral.</x:v>
      </x:c>
      <x:c r="I36" s="52" t="str">
        <x:v>Alta</x:v>
      </x:c>
    </x:row>
    <x:row r="37" ht="62" customHeight="1">
      <x:c r="A37" s="44" t="n">
        <x:v>33</x:v>
      </x:c>
      <x:c r="B37" s="45" t="str">
        <x:v>Avaliação</x:v>
      </x:c>
      <x:c r="C37" s="45" t="str">
        <x:v>Aprendizado a partir de erros</x:v>
      </x:c>
      <x:c r="D37" s="45" t="str">
        <x:v>Parcial</x:v>
      </x:c>
      <x:c r="E37" s="45" t="str">
        <x:v>Atendido</x:v>
      </x:c>
      <x:c r="F37" s="45" t="str">
        <x:v>Slide 1 cita aprendizado com erros/acertos e slide 3 usa atraso em feedback como aprendizado gerencial.</x:v>
      </x:c>
      <x:c r="G37" s="45" t="str">
        <x:v>Sem gap relevante.</x:v>
      </x:c>
      <x:c r="H37" s="45" t="str">
        <x:v>Manter a autenticidade do exemplo, sem transformar em acerto perfeito.</x:v>
      </x:c>
      <x:c r="I37" s="46" t="str">
        <x:v>Alta</x:v>
      </x:c>
    </x:row>
    <x:row r="38" ht="62" customHeight="1">
      <x:c r="A38" s="50" t="n">
        <x:v>34</x:v>
      </x:c>
      <x:c r="B38" s="51" t="str">
        <x:v>Evidência obrigatória</x:v>
      </x:c>
      <x:c r="C38" s="51" t="str">
        <x:v>Engajamento e transformação de time</x:v>
      </x:c>
      <x:c r="D38" s="51" t="str">
        <x:v>Coberto</x:v>
      </x:c>
      <x:c r="E38" s="51" t="str">
        <x:v>Atendido</x:v>
      </x:c>
      <x:c r="F38" s="51" t="str">
        <x:v>Slide 3: ownership/autonomia; slide 1: engajamento, capacitação e autonomia.</x:v>
      </x:c>
      <x:c r="G38" s="51" t="str">
        <x:v>Sem gap relevante.</x:v>
      </x:c>
      <x:c r="H38" s="51" t="str">
        <x:v>Manter.</x:v>
      </x:c>
      <x:c r="I38" s="52" t="str">
        <x:v>Crítica</x:v>
      </x:c>
    </x:row>
    <x:row r="39" ht="62" customHeight="1">
      <x:c r="A39" s="44" t="n">
        <x:v>35</x:v>
      </x:c>
      <x:c r="B39" s="45" t="str">
        <x:v>Evidência obrigatória</x:v>
      </x:c>
      <x:c r="C39" s="45" t="str">
        <x:v>Formação de sucessor</x:v>
      </x:c>
      <x:c r="D39" s="45" t="str">
        <x:v>Parcial</x:v>
      </x:c>
      <x:c r="E39" s="45" t="str">
        <x:v>Atendido</x:v>
      </x:c>
      <x:c r="F39" s="45" t="str">
        <x:v>Slide 3 traz sucessão, owners e backups com ação e evidência.</x:v>
      </x:c>
      <x:c r="G39" s="45" t="str">
        <x:v>Sem gap relevante.</x:v>
      </x:c>
      <x:c r="H39" s="45" t="str">
        <x:v>Manter.</x:v>
      </x:c>
      <x:c r="I39" s="46" t="str">
        <x:v>Crítica</x:v>
      </x:c>
    </x:row>
    <x:row r="40" ht="62" customHeight="1">
      <x:c r="A40" s="50" t="n">
        <x:v>36</x:v>
      </x:c>
      <x:c r="B40" s="51" t="str">
        <x:v>Evidência obrigatória</x:v>
      </x:c>
      <x:c r="C40" s="51" t="str">
        <x:v>Incidente e observabilidade</x:v>
      </x:c>
      <x:c r="D40" s="51" t="str">
        <x:v>Parcial</x:v>
      </x:c>
      <x:c r="E40" s="51" t="str">
        <x:v>Atendido</x:v>
      </x:c>
      <x:c r="F40" s="51" t="str">
        <x:v>Incidentes, SLOs, alertas, logs/métricas/traces, post-mortem e observabilidade ponta a ponta.</x:v>
      </x:c>
      <x:c r="G40" s="51" t="str">
        <x:v>Apenas o componente funcional da jornada permanece parcial (item 17).</x:v>
      </x:c>
      <x:c r="H40" s="51" t="str">
        <x:v>Ajuste pequeno no texto de observabilidade funcional.</x:v>
      </x:c>
      <x:c r="I40" s="52" t="str">
        <x:v>Alta</x:v>
      </x:c>
    </x:row>
    <x:row r="41" ht="62" customHeight="1">
      <x:c r="A41" s="44" t="n">
        <x:v>37</x:v>
      </x:c>
      <x:c r="B41" s="45" t="str">
        <x:v>Evidência obrigatória</x:v>
      </x:c>
      <x:c r="C41" s="45" t="str">
        <x:v>Dependências entre áreas</x:v>
      </x:c>
      <x:c r="D41" s="45" t="str">
        <x:v>Coberto</x:v>
      </x:c>
      <x:c r="E41" s="45" t="str">
        <x:v>Atendido</x:v>
      </x:c>
      <x:c r="F41" s="45" t="str">
        <x:v>Consumidores, dependências, roadmap compartilhado e escalonamentos estão explícitos.</x:v>
      </x:c>
      <x:c r="G41" s="45" t="str">
        <x:v>Sem gap relevante.</x:v>
      </x:c>
      <x:c r="H41" s="45" t="str">
        <x:v>Manter.</x:v>
      </x:c>
      <x:c r="I41" s="46" t="str">
        <x:v>Alta</x:v>
      </x:c>
    </x:row>
    <x:row r="42" ht="62" customHeight="1">
      <x:c r="A42" s="50" t="n">
        <x:v>38</x:v>
      </x:c>
      <x:c r="B42" s="51" t="str">
        <x:v>Evidência obrigatória</x:v>
      </x:c>
      <x:c r="C42" s="51" t="str">
        <x:v>Conflito com fornecedor</x:v>
      </x:c>
      <x:c r="D42" s="51" t="str">
        <x:v>Parcial</x:v>
      </x:c>
      <x:c r="E42" s="51" t="str">
        <x:v>Parcial</x:v>
      </x:c>
      <x:c r="F42" s="51" t="str">
        <x:v>Há governança e rito de escalonamento no plano.</x:v>
      </x:c>
      <x:c r="G42" s="51" t="str">
        <x:v>Falta evidência concreta/experiência para sustentar o item se a banca aprofundar.</x:v>
      </x:c>
      <x:c r="H42" s="51" t="str">
        <x:v>Preparar caso real curto ou explicitar um exemplo equivalente de negociação externa.</x:v>
      </x:c>
      <x:c r="I42" s="52" t="str">
        <x:v>Alta</x:v>
      </x:c>
    </x:row>
    <x:row r="43" ht="62" customHeight="1">
      <x:c r="A43" s="44" t="n">
        <x:v>39</x:v>
      </x:c>
      <x:c r="B43" s="45" t="str">
        <x:v>Evidência obrigatória</x:v>
      </x:c>
      <x:c r="C43" s="45" t="str">
        <x:v>FinOps / redução de custo AWS</x:v>
      </x:c>
      <x:c r="D43" s="45" t="str">
        <x:v>Coberto</x:v>
      </x:c>
      <x:c r="E43" s="45" t="str">
        <x:v>Atendido</x:v>
      </x:c>
      <x:c r="F43" s="45" t="str">
        <x:v>Mapa de custos, right sizing, desperdício, política FinOps e ganhos mensuráveis.</x:v>
      </x:c>
      <x:c r="G43" s="45" t="str">
        <x:v>Sem gap estrutural.</x:v>
      </x:c>
      <x:c r="H43" s="45" t="str">
        <x:v>Preparar resposta à pergunta 'qual custo primeiro e por quê?'.</x:v>
      </x:c>
      <x:c r="I43" s="46" t="str">
        <x:v>Alta</x:v>
      </x:c>
    </x:row>
    <x:row r="44" ht="62" customHeight="1">
      <x:c r="A44" s="50" t="n">
        <x:v>40</x:v>
      </x:c>
      <x:c r="B44" s="51" t="str">
        <x:v>Evidência obrigatória</x:v>
      </x:c>
      <x:c r="C44" s="51" t="str">
        <x:v>IA mudando o modo de trabalhar</x:v>
      </x:c>
      <x:c r="D44" s="51" t="str">
        <x:v>Coberto</x:v>
      </x:c>
      <x:c r="E44" s="51" t="str">
        <x:v>Atendido</x:v>
      </x:c>
      <x:c r="F44" s="51" t="str">
        <x:v>Slide 3 mostra uso de Copilot/Devin/Claude/BMAD/HIVE/AI-DLC ligado a problemas reais; slide 1/2 mede valor antes de escalar.</x:v>
      </x:c>
      <x:c r="G44" s="51" t="str">
        <x:v>Sem gap relevante.</x:v>
      </x:c>
      <x:c r="H44" s="51" t="str">
        <x:v>Manter.</x:v>
      </x:c>
      <x:c r="I44" s="52" t="str">
        <x:v>Alta</x:v>
      </x:c>
    </x:row>
    <x:row r="45" ht="62" customHeight="1">
      <x:c r="A45" s="44" t="n">
        <x:v>41</x:v>
      </x:c>
      <x:c r="B45" s="45" t="str">
        <x:v>Pergunta autenticidade</x:v>
      </x:c>
      <x:c r="C45" s="45" t="str">
        <x:v>O que deixaria de fazer para liberar capacidade?</x:v>
      </x:c>
      <x:c r="D45" s="45" t="str">
        <x:v>Coberto</x:v>
      </x:c>
      <x:c r="E45" s="45" t="str">
        <x:v>Atendido</x:v>
      </x:c>
      <x:c r="F45" s="45" t="str">
        <x:v>Renúncias explícitas e regra de capacidade real antes de nova demanda.</x:v>
      </x:c>
      <x:c r="G45" s="45" t="str">
        <x:v>Sem gap relevante.</x:v>
      </x:c>
      <x:c r="H45" s="45" t="str">
        <x:v>Resposta oral: nova prioridade exige saída, redução de escopo ou mudança de prazo.</x:v>
      </x:c>
      <x:c r="I45" s="46" t="str">
        <x:v>Crítica</x:v>
      </x:c>
    </x:row>
    <x:row r="46" ht="62" customHeight="1">
      <x:c r="A46" s="50" t="n">
        <x:v>42</x:v>
      </x:c>
      <x:c r="B46" s="51" t="str">
        <x:v>Pergunta autenticidade</x:v>
      </x:c>
      <x:c r="C46" s="51" t="str">
        <x:v>Quem lideraria o primeiro experimento de IA?</x:v>
      </x:c>
      <x:c r="D46" s="51" t="str">
        <x:v>Coberto</x:v>
      </x:c>
      <x:c r="E46" s="51" t="str">
        <x:v>Atendido</x:v>
      </x:c>
      <x:c r="F46" s="51" t="str">
        <x:v>Slide 2 define 'Owner do time' para IA.</x:v>
      </x:c>
      <x:c r="G46" s="51" t="str">
        <x:v>Sem gap relevante.</x:v>
      </x:c>
      <x:c r="H46" s="51" t="str">
        <x:v>Responder: alguém próximo do problema, com contexto, limites e sponsor da coordenação.</x:v>
      </x:c>
      <x:c r="I46" s="52" t="str">
        <x:v>Alta</x:v>
      </x:c>
    </x:row>
    <x:row r="47" ht="62" customHeight="1">
      <x:c r="A47" s="44" t="n">
        <x:v>43</x:v>
      </x:c>
      <x:c r="B47" s="45" t="str">
        <x:v>Pergunta autenticidade</x:v>
      </x:c>
      <x:c r="C47" s="45" t="str">
        <x:v>Como destravaria uma área consumidora?</x:v>
      </x:c>
      <x:c r="D47" s="45" t="str">
        <x:v>Coberto</x:v>
      </x:c>
      <x:c r="E47" s="45" t="str">
        <x:v>Atendido</x:v>
      </x:c>
      <x:c r="F47" s="45" t="str">
        <x:v>Roadmap compartilhado, critérios de escalonamento e negociação transparente de trade-offs.</x:v>
      </x:c>
      <x:c r="G47" s="45" t="str">
        <x:v>Sem gap relevante.</x:v>
      </x:c>
      <x:c r="H47" s="45" t="str">
        <x:v>Manter.</x:v>
      </x:c>
      <x:c r="I47" s="46" t="str">
        <x:v>Alta</x:v>
      </x:c>
    </x:row>
    <x:row r="48" ht="62" customHeight="1">
      <x:c r="A48" s="50" t="n">
        <x:v>44</x:v>
      </x:c>
      <x:c r="B48" s="51" t="str">
        <x:v>Pergunta autenticidade</x:v>
      </x:c>
      <x:c r="C48" s="51" t="str">
        <x:v>Qual custo AWS atacaria primeiro e por quê?</x:v>
      </x:c>
      <x:c r="D48" s="51" t="str">
        <x:v>Não mapeado</x:v>
      </x:c>
      <x:c r="E48" s="51" t="str">
        <x:v>Parcial</x:v>
      </x:c>
      <x:c r="F48" s="51" t="str">
        <x:v>Há baseline, mapa de custos e right sizing, mas não há critério explícito de 'primeiro custo'.</x:v>
      </x:c>
      <x:c r="G48" s="51" t="str">
        <x:v>A banca pode cobrar uma decisão concreta.</x:v>
      </x:c>
      <x:c r="H48" s="51" t="str">
        <x:v>Preparar resposta: maior desperdício recorrente com boa relação impacto x esforço x risco, após baseline.</x:v>
      </x:c>
      <x:c r="I48" s="52" t="str">
        <x:v>Alta</x:v>
      </x:c>
    </x:row>
    <x:row r="49" ht="62" customHeight="1">
      <x:c r="A49" s="56" t="n">
        <x:v>45</x:v>
      </x:c>
      <x:c r="B49" s="57" t="str">
        <x:v>Pergunta autenticidade</x:v>
      </x:c>
      <x:c r="C49" s="57" t="str">
        <x:v>Como protegeria a data-muro de 2028?</x:v>
      </x:c>
      <x:c r="D49" s="57" t="str">
        <x:v>Coberto</x:v>
      </x:c>
      <x:c r="E49" s="57" t="str">
        <x:v>Atendido</x:v>
      </x:c>
      <x:c r="F49" s="57" t="str">
        <x:v>Roadmap 2028, ondas, plano de retirada e governança/owner estão explícitos.</x:v>
      </x:c>
      <x:c r="G49" s="57" t="str">
        <x:v>Pode reforçar guardrail para evitar crescimento do legado.</x:v>
      </x:c>
      <x:c r="H49" s="57" t="str">
        <x:v>Resposta oral: marcos intermediários + owners + dependências + critério de saída + não aumentar legado.</x:v>
      </x:c>
      <x:c r="I49" s="58" t="str">
        <x:v>Crítica</x:v>
      </x:c>
    </x:row>
    <x:row r="50">
      <x:c r="A50" s="24" t="n">
        <x:v>46</x:v>
      </x:c>
      <x:c r="B50" s="24" t="str">
        <x:v>Pergunta autenticidade</x:v>
      </x:c>
      <x:c r="C50" s="24" t="str">
        <x:v>Qual decisão o time tomaria sem você?</x:v>
      </x:c>
      <x:c r="D50" s="24" t="str">
        <x:v>Coberto</x:v>
      </x:c>
      <x:c r="E50" s="24" t="str">
        <x:v>Atendido</x:v>
      </x:c>
      <x:c r="F50" s="24" t="str">
        <x:v>Slide 3 lista priorização de incidentes, capacidade/trade-offs, experimentos, decisões técnicas e critérios de escalonamento.</x:v>
      </x:c>
      <x:c r="G50" s="24" t="str">
        <x:v>Sem gap relevante.</x:v>
      </x:c>
      <x:c r="H50" s="24" t="str">
        <x:v>Manter.</x:v>
      </x:c>
      <x:c r="I50" s="24" t="str">
        <x:v>Crítica</x:v>
      </x:c>
    </x:row>
  </x:sheetData>
  <x:mergeCells>
    <x:mergeCell ref="A1:I1"/>
    <x:mergeCell ref="A2:I2"/>
  </x:mergeCells>
  <x:conditionalFormatting sqref="E5:E49">
    <x:cfRule type="expression" dxfId="0" priority="1">
      <x:formula>E5="Atendido"</x:formula>
    </x:cfRule>
    <x:cfRule type="expression" dxfId="1" priority="2">
      <x:formula>E5="Parcial"</x:formula>
    </x:cfRule>
    <x:cfRule type="expression" dxfId="2" priority="3">
      <x:formula>E5="Não atendido"</x:formula>
    </x:cfRule>
  </x:conditionalFormatting>
  <x:conditionalFormatting sqref="E5:E50">
    <x:cfRule type="expression" dxfId="6" priority="4">
      <x:formula>E5="Atendido"</x:formula>
    </x:cfRule>
    <x:cfRule type="expression" dxfId="7" priority="5">
      <x:formula>E5="Parcial"</x:formula>
    </x:cfRule>
    <x:cfRule type="expression" dxfId="8" priority="6">
      <x:formula>E5="Não atendido"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c484fc8589542a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4" hidden="0" customWidth="1"/>
    <x:col min="4" max="4" width="8" hidden="0" customWidth="1"/>
    <x:col min="5" max="5" width="28" hidden="0" customWidth="1"/>
    <x:col min="6" max="6" width="62" hidden="0" customWidth="1"/>
  </x:cols>
  <x:sheetData>
    <x:row r="1" ht="34" customHeight="1">
      <x:c r="A1" s="3" t="str">
        <x:v>Resumo executivo — o que falta antes do envio</x:v>
      </x:c>
    </x:row>
    <x:row r="2" ht="34" customHeight="1">
      <x:c r="A2" s="63" t="str">
        <x:v>Leitura atual: o material cobre a maior parte do case original. Os pontos abaixo são os únicos que ainda merecem ajuste ou preparação.</x:v>
      </x:c>
    </x:row>
    <x:row r="4">
      <x:c r="A4" s="66" t="str">
        <x:v>Status</x:v>
      </x:c>
      <x:c r="B4" s="66" t="str">
        <x:v>Quantidade</x:v>
      </x:c>
      <x:c r="D4" s="87" t="str">
        <x:v>Pontos que eu trataria antes do envio</x:v>
      </x:c>
    </x:row>
    <x:row r="5" ht="48" customHeight="1">
      <x:c r="A5" s="80" t="str">
        <x:v>Atendido</x:v>
      </x:c>
      <x:c r="B5" s="69" t="n">
        <x:f>COUNTIF('Cobertura Case v6'!E5:E50,"Atendido")</x:f>
        <x:v>41</x:v>
      </x:c>
      <x:c r="D5" s="106" t="str">
        <x:v>1</x:v>
      </x:c>
      <x:c r="E5" s="107" t="str">
        <x:v>Contribuição para Comunidade / CIO9</x:v>
      </x:c>
      <x:c r="F5" s="108" t="str">
        <x:v>Hoje está implícita. Inserir ou preparar uma frase curta mostrando impacto além da Squad: práticas, formação e compartilhamento de aprendizado.</x:v>
      </x:c>
    </x:row>
    <x:row r="6" ht="48" customHeight="1">
      <x:c r="A6" s="81" t="str">
        <x:v>Parcial</x:v>
      </x:c>
      <x:c r="B6" s="71" t="n">
        <x:f>COUNTIF('Cobertura Case v6'!E5:E50,"Parcial")</x:f>
        <x:v>5</x:v>
      </x:c>
      <x:c r="D6" s="112" t="str">
        <x:v>2</x:v>
      </x:c>
      <x:c r="E6" s="113" t="str">
        <x:v>Observabilidade funcional da jornada</x:v>
      </x:c>
      <x:c r="F6" s="114" t="str">
        <x:v>Adicionar 'indicadores técnicos + funcionais da jornada' para deixar explícito que saúde de negócio não é só infraestrutura verde.</x:v>
      </x:c>
    </x:row>
    <x:row r="7" ht="48" customHeight="1">
      <x:c r="A7" s="82" t="str">
        <x:v>Não atendido</x:v>
      </x:c>
      <x:c r="B7" s="73" t="n">
        <x:f>COUNTIF('Cobertura Case v6'!E5:E50,"Não atendido")</x:f>
        <x:v>0</x:v>
      </x:c>
      <x:c r="D7" s="118" t="str">
        <x:v>3</x:v>
      </x:c>
      <x:c r="E7" s="119" t="str">
        <x:v>Conflito com fornecedor</x:v>
      </x:c>
      <x:c r="F7" s="120" t="str">
        <x:v>O plano tem rito, mas falta uma experiência concreta para sustentar a evidência obrigatória se perguntarem.</x:v>
      </x:c>
    </x:row>
    <x:row r="8" ht="48" customHeight="1">
      <x:c r="D8" s="124" t="str">
        <x:v>4</x:v>
      </x:c>
      <x:c r="E8" s="125" t="str">
        <x:v>Qual custo AWS atacar primeiro</x:v>
      </x:c>
      <x:c r="F8" s="126" t="str">
        <x:v>Preparar a resposta oral: começar pelo maior desperdício recorrente com boa relação impacto x esforço x risco, após baseline.</x:v>
      </x:c>
    </x:row>
    <x:row r="10">
      <x:c r="A10" s="131" t="str">
        <x:v>Itens já fortes — não reabrir sem necessidade</x:v>
      </x:c>
    </x:row>
    <x:row r="11" ht="22" customHeight="1">
      <x:c r="A11" s="137" t="str">
        <x:v>• Plano 180 dias + gates D30/D90/D180
• Escolhas, renúncias, responsáveis e indicadores
• Capacidade / priorização / autonomia
• Performance, sucessão e exemplos concretos
• Modernização / legado 2028 / FinOps
• IA como experimento mensurável, não como objetivo
• Áreas consumidoras, trade-offs e escalonamento
• Decisões que o time deverá tomar sem a coordenação</x:v>
      </x:c>
    </x:row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20">
      <x:c r="A20" s="142" t="str">
        <x:v>Conclusão da revisão</x:v>
      </x:c>
    </x:row>
    <x:row r="21" ht="30" customHeight="1">
      <x:c r="A21" s="146" t="str">
        <x:v>O PPT v6 está aderente ao núcleo do case. Não há um buraco estrutural no plano de 180 dias. Antes do envio, eu faria apenas ajustes pequenos nos itens parciais e prepararia as respostas orais correspondentes — sem reconstruir o material.</x:v>
      </x:c>
    </x:row>
    <x:row r="22" ht="30" customHeight="1"/>
    <x:row r="23" ht="30" customHeight="1"/>
  </x:sheetData>
  <x:mergeCells>
    <x:mergeCell ref="A1:F1"/>
    <x:mergeCell ref="A2:F2"/>
    <x:mergeCell ref="D4:F4"/>
    <x:mergeCell ref="A10:F10"/>
    <x:mergeCell ref="A11:F18"/>
    <x:mergeCell ref="A20:F20"/>
    <x:mergeCell ref="A21:F2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38" hidden="0" customWidth="1"/>
    <x:col min="3" max="3" width="15" hidden="0" customWidth="1"/>
    <x:col min="4" max="4" width="12" hidden="0" customWidth="1"/>
    <x:col min="5" max="5" width="15" hidden="0" customWidth="1"/>
    <x:col min="6" max="6" width="15" hidden="0" customWidth="1"/>
    <x:col min="7" max="7" width="48" hidden="0" customWidth="1"/>
    <x:col min="8" max="8" width="46" hidden="0" customWidth="1"/>
  </x:cols>
  <x:sheetData>
    <x:row r="1">
      <x:c r="A1" s="3" t="str">
        <x:v>Checklist de fechamento — incluindo concluídos</x:v>
      </x:c>
    </x:row>
    <x:row r="2">
      <x:c r="A2" s="9" t="str">
        <x:v>Use esta aba para o último ciclo: não reabrir itens concluídos sem um motivo objetivo.</x:v>
      </x:c>
    </x:row>
    <x:row r="4" ht="36" customHeight="1">
      <x:c r="A4" s="152" t="str">
        <x:v>#</x:v>
      </x:c>
      <x:c r="B4" s="153" t="str">
        <x:v>Item</x:v>
      </x:c>
      <x:c r="C4" s="153" t="str">
        <x:v>Tipo</x:v>
      </x:c>
      <x:c r="D4" s="153" t="str">
        <x:v>Prioridade</x:v>
      </x:c>
      <x:c r="E4" s="153" t="str">
        <x:v>Status anterior</x:v>
      </x:c>
      <x:c r="F4" s="153" t="str">
        <x:v>Status atual v6</x:v>
      </x:c>
      <x:c r="G4" s="153" t="str">
        <x:v>Evidência atual</x:v>
      </x:c>
      <x:c r="H4" s="154" t="str">
        <x:v>Próxima ação</x:v>
      </x:c>
    </x:row>
    <x:row r="5" ht="52" customHeight="1">
      <x:c r="A5" s="118" t="n">
        <x:v>1</x:v>
      </x:c>
      <x:c r="B5" s="119" t="str">
        <x:v>Requisitos do case mapeados linha a linha</x:v>
      </x:c>
      <x:c r="C5" s="119" t="str">
        <x:v>Case</x:v>
      </x:c>
      <x:c r="D5" s="119" t="str">
        <x:v>Crítica</x:v>
      </x:c>
      <x:c r="E5" s="119" t="str">
        <x:v>Concluído</x:v>
      </x:c>
      <x:c r="F5" s="119" t="str">
        <x:v>Concluído</x:v>
      </x:c>
      <x:c r="G5" s="119" t="str">
        <x:v>Cobertura atual revisada em 46 requisitos.</x:v>
      </x:c>
      <x:c r="H5" s="120" t="str">
        <x:v>Nenhuma.</x:v>
      </x:c>
    </x:row>
    <x:row r="6" ht="52" customHeight="1">
      <x:c r="A6" s="158" t="n">
        <x:v>2</x:v>
      </x:c>
      <x:c r="B6" s="159" t="str">
        <x:v>Tese central de 180 dias</x:v>
      </x:c>
      <x:c r="C6" s="159" t="str">
        <x:v>Case</x:v>
      </x:c>
      <x:c r="D6" s="159" t="str">
        <x:v>Crítica</x:v>
      </x:c>
      <x:c r="E6" s="159" t="str">
        <x:v>Concluído</x:v>
      </x:c>
      <x:c r="F6" s="159" t="str">
        <x:v>Concluído</x:v>
      </x:c>
      <x:c r="G6" s="159" t="str">
        <x:v>Narrativa de transformação + autonomia está consistente.</x:v>
      </x:c>
      <x:c r="H6" s="160" t="str">
        <x:v>Não reabrir.</x:v>
      </x:c>
    </x:row>
    <x:row r="7" ht="52" customHeight="1">
      <x:c r="A7" s="118" t="n">
        <x:v>3</x:v>
      </x:c>
      <x:c r="B7" s="119" t="str">
        <x:v>One-page funciona sozinho</x:v>
      </x:c>
      <x:c r="C7" s="119" t="str">
        <x:v>Material</x:v>
      </x:c>
      <x:c r="D7" s="119" t="str">
        <x:v>Crítica</x:v>
      </x:c>
      <x:c r="E7" s="119" t="str">
        <x:v>Concluído</x:v>
      </x:c>
      <x:c r="F7" s="119" t="str">
        <x:v>Concluído</x:v>
      </x:c>
      <x:c r="G7" s="119" t="str">
        <x:v>Ondas, frentes, ecossistema, gates e valor em uma página.</x:v>
      </x:c>
      <x:c r="H7" s="120" t="str">
        <x:v>Não reabrir.</x:v>
      </x:c>
    </x:row>
    <x:row r="8" ht="52" customHeight="1">
      <x:c r="A8" s="158" t="n">
        <x:v>4</x:v>
      </x:c>
      <x:c r="B8" s="159" t="str">
        <x:v>Escolhas e renúncias explícitas</x:v>
      </x:c>
      <x:c r="C8" s="159" t="str">
        <x:v>Case</x:v>
      </x:c>
      <x:c r="D8" s="159" t="str">
        <x:v>Crítica</x:v>
      </x:c>
      <x:c r="E8" s="159" t="str">
        <x:v>Concluído</x:v>
      </x:c>
      <x:c r="F8" s="159" t="str">
        <x:v>Concluído</x:v>
      </x:c>
      <x:c r="G8" s="159" t="str">
        <x:v>Slide 2 traz foco e renúncias.</x:v>
      </x:c>
      <x:c r="H8" s="160" t="str">
        <x:v>Não reabrir.</x:v>
      </x:c>
    </x:row>
    <x:row r="9" ht="52" customHeight="1">
      <x:c r="A9" s="118" t="n">
        <x:v>5</x:v>
      </x:c>
      <x:c r="B9" s="119" t="str">
        <x:v>Responsáveis / ownership</x:v>
      </x:c>
      <x:c r="C9" s="119" t="str">
        <x:v>Case</x:v>
      </x:c>
      <x:c r="D9" s="119" t="str">
        <x:v>Alta</x:v>
      </x:c>
      <x:c r="E9" s="119" t="str">
        <x:v>Concluído</x:v>
      </x:c>
      <x:c r="F9" s="119" t="str">
        <x:v>Concluído</x:v>
      </x:c>
      <x:c r="G9" s="119" t="str">
        <x:v>Owners por frente no slide 2.</x:v>
      </x:c>
      <x:c r="H9" s="120" t="str">
        <x:v>Não reabrir.</x:v>
      </x:c>
    </x:row>
    <x:row r="10" ht="52" customHeight="1">
      <x:c r="A10" s="158" t="n">
        <x:v>6</x:v>
      </x:c>
      <x:c r="B10" s="159" t="str">
        <x:v>Indicadores e gates</x:v>
      </x:c>
      <x:c r="C10" s="159" t="str">
        <x:v>Case</x:v>
      </x:c>
      <x:c r="D10" s="159" t="str">
        <x:v>Crítica</x:v>
      </x:c>
      <x:c r="E10" s="159" t="str">
        <x:v>Concluído</x:v>
      </x:c>
      <x:c r="F10" s="159" t="str">
        <x:v>Concluído</x:v>
      </x:c>
      <x:c r="G10" s="159" t="str">
        <x:v>D30 baseline, D90 tendência, D180 resultado.</x:v>
      </x:c>
      <x:c r="H10" s="160" t="str">
        <x:v>Não reabrir.</x:v>
      </x:c>
    </x:row>
    <x:row r="11" ht="52" customHeight="1">
      <x:c r="A11" s="118" t="n">
        <x:v>7</x:v>
      </x:c>
      <x:c r="B11" s="119" t="str">
        <x:v>Pessoas e performance</x:v>
      </x:c>
      <x:c r="C11" s="119" t="str">
        <x:v>Case</x:v>
      </x:c>
      <x:c r="D11" s="119" t="str">
        <x:v>Crítica</x:v>
      </x:c>
      <x:c r="E11" s="119" t="str">
        <x:v>Parcial</x:v>
      </x:c>
      <x:c r="F11" s="119" t="str">
        <x:v>Concluído</x:v>
      </x:c>
      <x:c r="G11" s="119" t="str">
        <x:v>Slide 3 agora traz performance, feedback e aprendizado.</x:v>
      </x:c>
      <x:c r="H11" s="120" t="str">
        <x:v>Preparar fala de 60–90s.</x:v>
      </x:c>
    </x:row>
    <x:row r="12" ht="52" customHeight="1">
      <x:c r="A12" s="158" t="n">
        <x:v>8</x:v>
      </x:c>
      <x:c r="B12" s="159" t="str">
        <x:v>Sucessão / owners / backups</x:v>
      </x:c>
      <x:c r="C12" s="159" t="str">
        <x:v>Case</x:v>
      </x:c>
      <x:c r="D12" s="159" t="str">
        <x:v>Crítica</x:v>
      </x:c>
      <x:c r="E12" s="159" t="str">
        <x:v>Parcial</x:v>
      </x:c>
      <x:c r="F12" s="159" t="str">
        <x:v>Concluído</x:v>
      </x:c>
      <x:c r="G12" s="159" t="str">
        <x:v>Slide 3 traz ação e evidência de sucessão.</x:v>
      </x:c>
      <x:c r="H12" s="160" t="str">
        <x:v>Preparar 1 exemplo sem expor nomes.</x:v>
      </x:c>
    </x:row>
    <x:row r="13" ht="52" customHeight="1">
      <x:c r="A13" s="118" t="n">
        <x:v>9</x:v>
      </x:c>
      <x:c r="B13" s="119" t="str">
        <x:v>Exemplos concretos</x:v>
      </x:c>
      <x:c r="C13" s="119" t="str">
        <x:v>Case</x:v>
      </x:c>
      <x:c r="D13" s="119" t="str">
        <x:v>Crítica</x:v>
      </x:c>
      <x:c r="E13" s="119" t="str">
        <x:v>Parcial</x:v>
      </x:c>
      <x:c r="F13" s="119" t="str">
        <x:v>Concluído</x:v>
      </x:c>
      <x:c r="G13" s="119" t="str">
        <x:v>5 exemplos no formato Cenário → Ação → Evidência.</x:v>
      </x:c>
      <x:c r="H13" s="120" t="str">
        <x:v>Escolher 3–4 para dominar oralmente.</x:v>
      </x:c>
    </x:row>
    <x:row r="14" ht="52" customHeight="1">
      <x:c r="A14" s="158" t="n">
        <x:v>10</x:v>
      </x:c>
      <x:c r="B14" s="159" t="str">
        <x:v>IA integrada sem excesso</x:v>
      </x:c>
      <x:c r="C14" s="159" t="str">
        <x:v>Case</x:v>
      </x:c>
      <x:c r="D14" s="159" t="str">
        <x:v>Alta</x:v>
      </x:c>
      <x:c r="E14" s="159" t="str">
        <x:v>Concluído</x:v>
      </x:c>
      <x:c r="F14" s="159" t="str">
        <x:v>Concluído</x:v>
      </x:c>
      <x:c r="G14" s="159" t="str">
        <x:v>Baseline → piloto → evidência → escala; exemplo real no slide 3.</x:v>
      </x:c>
      <x:c r="H14" s="160" t="str">
        <x:v>Não criar slide extra.</x:v>
      </x:c>
    </x:row>
    <x:row r="15" ht="52" customHeight="1">
      <x:c r="A15" s="118" t="n">
        <x:v>11</x:v>
      </x:c>
      <x:c r="B15" s="119" t="str">
        <x:v>Observabilidade funcional</x:v>
      </x:c>
      <x:c r="C15" s="119" t="str">
        <x:v>Case</x:v>
      </x:c>
      <x:c r="D15" s="119" t="str">
        <x:v>Alta</x:v>
      </x:c>
      <x:c r="E15" s="119" t="str">
        <x:v>Parcial</x:v>
      </x:c>
      <x:c r="F15" s="119" t="str">
        <x:v>Parcial</x:v>
      </x:c>
      <x:c r="G15" s="119" t="str">
        <x:v>Técnica está forte; funcional ainda implícita.</x:v>
      </x:c>
      <x:c r="H15" s="120" t="str">
        <x:v>Pequeno ajuste de texto.</x:v>
      </x:c>
    </x:row>
    <x:row r="16" ht="52" customHeight="1">
      <x:c r="A16" s="158" t="n">
        <x:v>12</x:v>
      </x:c>
      <x:c r="B16" s="159" t="str">
        <x:v>Contribuição Comunidade / CIO9</x:v>
      </x:c>
      <x:c r="C16" s="159" t="str">
        <x:v>Case</x:v>
      </x:c>
      <x:c r="D16" s="159" t="str">
        <x:v>Crítica</x:v>
      </x:c>
      <x:c r="E16" s="159" t="str">
        <x:v>Não mapeado</x:v>
      </x:c>
      <x:c r="F16" s="159" t="str">
        <x:v>Parcial</x:v>
      </x:c>
      <x:c r="G16" s="159" t="str">
        <x:v>Contribuição transversal é inferível, não explícita.</x:v>
      </x:c>
      <x:c r="H16" s="160" t="str">
        <x:v>Adicionar/preparar uma frase curta.</x:v>
      </x:c>
    </x:row>
    <x:row r="17" ht="52" customHeight="1">
      <x:c r="A17" s="118" t="n">
        <x:v>13</x:v>
      </x:c>
      <x:c r="B17" s="119" t="str">
        <x:v>Conflito com fornecedor</x:v>
      </x:c>
      <x:c r="C17" s="119" t="str">
        <x:v>Case</x:v>
      </x:c>
      <x:c r="D17" s="119" t="str">
        <x:v>Alta</x:v>
      </x:c>
      <x:c r="E17" s="119" t="str">
        <x:v>Parcial</x:v>
      </x:c>
      <x:c r="F17" s="119" t="str">
        <x:v>Parcial</x:v>
      </x:c>
      <x:c r="G17" s="119" t="str">
        <x:v>Rito está no plano; falta experiência concreta para defesa.</x:v>
      </x:c>
      <x:c r="H17" s="120" t="str">
        <x:v>Preparar exemplo oral.</x:v>
      </x:c>
    </x:row>
    <x:row r="18" ht="52" customHeight="1">
      <x:c r="A18" s="158" t="n">
        <x:v>14</x:v>
      </x:c>
      <x:c r="B18" s="159" t="str">
        <x:v>Qual custo AWS atacar primeiro</x:v>
      </x:c>
      <x:c r="C18" s="159" t="str">
        <x:v>Entrevista</x:v>
      </x:c>
      <x:c r="D18" s="159" t="str">
        <x:v>Alta</x:v>
      </x:c>
      <x:c r="E18" s="159" t="str">
        <x:v>Não mapeado</x:v>
      </x:c>
      <x:c r="F18" s="159" t="str">
        <x:v>Parcial</x:v>
      </x:c>
      <x:c r="G18" s="159" t="str">
        <x:v>Baseline e FinOps estão claros, prioridade inicial não.</x:v>
      </x:c>
      <x:c r="H18" s="160" t="str">
        <x:v>Preparar resposta oral.</x:v>
      </x:c>
    </x:row>
    <x:row r="19" ht="52" customHeight="1">
      <x:c r="A19" s="118" t="n">
        <x:v>15</x:v>
      </x:c>
      <x:c r="B19" s="119" t="str">
        <x:v>Proteção da data 2028</x:v>
      </x:c>
      <x:c r="C19" s="119" t="str">
        <x:v>Case</x:v>
      </x:c>
      <x:c r="D19" s="119" t="str">
        <x:v>Crítica</x:v>
      </x:c>
      <x:c r="E19" s="119" t="str">
        <x:v>Concluído</x:v>
      </x:c>
      <x:c r="F19" s="119" t="str">
        <x:v>Concluído</x:v>
      </x:c>
      <x:c r="G19" s="119" t="str">
        <x:v>Roadmap, ondas e plano de retirada estão explícitos.</x:v>
      </x:c>
      <x:c r="H19" s="120" t="str">
        <x:v>Reforçar oralmente guardrail de não aumentar legado.</x:v>
      </x:c>
    </x:row>
    <x:row r="20" ht="52" customHeight="1">
      <x:c r="A20" s="158" t="n">
        <x:v>16</x:v>
      </x:c>
      <x:c r="B20" s="159" t="str">
        <x:v>Decisões do time sem coordenação</x:v>
      </x:c>
      <x:c r="C20" s="159" t="str">
        <x:v>Case</x:v>
      </x:c>
      <x:c r="D20" s="159" t="str">
        <x:v>Crítica</x:v>
      </x:c>
      <x:c r="E20" s="159" t="str">
        <x:v>Concluído</x:v>
      </x:c>
      <x:c r="F20" s="159" t="str">
        <x:v>Concluído</x:v>
      </x:c>
      <x:c r="G20" s="159" t="str">
        <x:v>Lista explícita no slide 3.</x:v>
      </x:c>
      <x:c r="H20" s="160" t="str">
        <x:v>Não reabrir.</x:v>
      </x:c>
    </x:row>
    <x:row r="21" ht="52" customHeight="1">
      <x:c r="A21" s="118" t="n">
        <x:v>17</x:v>
      </x:c>
      <x:c r="B21" s="119" t="str">
        <x:v>QA de português, densidade e nomes</x:v>
      </x:c>
      <x:c r="C21" s="119" t="str">
        <x:v>Material</x:v>
      </x:c>
      <x:c r="D21" s="119" t="str">
        <x:v>Alta</x:v>
      </x:c>
      <x:c r="E21" s="119" t="str">
        <x:v>Parcial</x:v>
      </x:c>
      <x:c r="F21" s="119" t="str">
        <x:v>Parcial</x:v>
      </x:c>
      <x:c r="G21" s="119" t="str">
        <x:v>Material está coerente, ainda falta revisão final de detalhes.</x:v>
      </x:c>
      <x:c r="H21" s="120" t="str">
        <x:v>Fazer uma última passada, sem reconstruir.</x:v>
      </x:c>
    </x:row>
    <x:row r="22" ht="52" customHeight="1">
      <x:c r="A22" s="158" t="n">
        <x:v>18</x:v>
      </x:c>
      <x:c r="B22" s="159" t="str">
        <x:v>Gerar PDF final e ler como avaliador</x:v>
      </x:c>
      <x:c r="C22" s="159" t="str">
        <x:v>Envio</x:v>
      </x:c>
      <x:c r="D22" s="159" t="str">
        <x:v>Crítica</x:v>
      </x:c>
      <x:c r="E22" s="159" t="str">
        <x:v>Parcial</x:v>
      </x:c>
      <x:c r="F22" s="159" t="str">
        <x:v>Pendente</x:v>
      </x:c>
      <x:c r="G22" s="159" t="str">
        <x:v>Versão v6 está em PPTX; PDF final ainda não foi fechado.</x:v>
      </x:c>
      <x:c r="H22" s="160" t="str">
        <x:v>Exportar PDF e ler sem apoio oral.</x:v>
      </x:c>
    </x:row>
    <x:row r="23" ht="52" customHeight="1">
      <x:c r="A23" s="164" t="n">
        <x:v>19</x:v>
      </x:c>
      <x:c r="B23" s="165" t="str">
        <x:v>Conferir anexos e versão correta</x:v>
      </x:c>
      <x:c r="C23" s="165" t="str">
        <x:v>Envio</x:v>
      </x:c>
      <x:c r="D23" s="165" t="str">
        <x:v>Crítica</x:v>
      </x:c>
      <x:c r="E23" s="165" t="str">
        <x:v>Pendente</x:v>
      </x:c>
      <x:c r="F23" s="165" t="str">
        <x:v>Pendente</x:v>
      </x:c>
      <x:c r="G23" s="165" t="str">
        <x:v>Ainda não é etapa concluída.</x:v>
      </x:c>
      <x:c r="H23" s="166" t="str">
        <x:v>Conferir PPT/PDF/currículo/e-mail.</x:v>
      </x:c>
    </x:row>
    <x:row r="24">
      <x:c r="A24" s="24" t="n">
        <x:v>20</x:v>
      </x:c>
      <x:c r="B24" s="24" t="str">
        <x:v>E-mail curto de envio</x:v>
      </x:c>
      <x:c r="C24" s="24" t="str">
        <x:v>Envio</x:v>
      </x:c>
      <x:c r="D24" s="24" t="str">
        <x:v>Alta</x:v>
      </x:c>
      <x:c r="E24" s="24" t="str">
        <x:v>Concluído</x:v>
      </x:c>
      <x:c r="F24" s="24" t="str">
        <x:v>Concluído</x:v>
      </x:c>
      <x:c r="G24" s="24" t="str">
        <x:v>Rascunho já definido.</x:v>
      </x:c>
      <x:c r="H24" s="24" t="str">
        <x:v>Só ajustar nome/assunto/anexo.</x:v>
      </x:c>
    </x:row>
  </x:sheetData>
  <x:mergeCells>
    <x:mergeCell ref="A1:H1"/>
    <x:mergeCell ref="A2:H2"/>
  </x:mergeCells>
  <x:conditionalFormatting sqref="F5:F23">
    <x:cfRule type="expression" dxfId="3" priority="1">
      <x:formula>F5="Concluído"</x:formula>
    </x:cfRule>
    <x:cfRule type="expression" dxfId="4" priority="2">
      <x:formula>F5="Parcial"</x:formula>
    </x:cfRule>
    <x:cfRule type="expression" dxfId="5" priority="3">
      <x:formula>F5="Pendente"</x:formula>
    </x:cfRule>
  </x:conditionalFormatting>
  <x:conditionalFormatting sqref="F5:F24">
    <x:cfRule type="expression" dxfId="9" priority="4">
      <x:formula>F5="Concluído"</x:formula>
    </x:cfRule>
    <x:cfRule type="expression" dxfId="10" priority="5">
      <x:formula>F5="Parcial"</x:formula>
    </x:cfRule>
    <x:cfRule type="expression" dxfId="11" priority="6">
      <x:formula>F5="Pendente"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cc60588d83d4155"/>
  </x:tableParts>
</x:worksheet>
</file>