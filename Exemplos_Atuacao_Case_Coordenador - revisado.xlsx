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Desktop\CASE\"/>
    </mc:Choice>
  </mc:AlternateContent>
  <xr:revisionPtr revIDLastSave="0" documentId="8_{429EA983-862D-4C66-B307-9E2EDDB3FAD9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Exemplos" sheetId="1" r:id="rId1"/>
    <sheet name="Seleção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</calcChain>
</file>

<file path=xl/sharedStrings.xml><?xml version="1.0" encoding="utf-8"?>
<sst xmlns="http://schemas.openxmlformats.org/spreadsheetml/2006/main" count="164" uniqueCount="152">
  <si>
    <t>ID</t>
  </si>
  <si>
    <t>Exemplo da atuação atual</t>
  </si>
  <si>
    <t>Origem</t>
  </si>
  <si>
    <t>Situação / contexto</t>
  </si>
  <si>
    <t>Minha atuação</t>
  </si>
  <si>
    <t>Evidência / resultado</t>
  </si>
  <si>
    <t>O que demonstra</t>
  </si>
  <si>
    <t>Conexão com o case</t>
  </si>
  <si>
    <t>Pergunta da banca que ajuda a responder</t>
  </si>
  <si>
    <t>Versão curta para o PPT</t>
  </si>
  <si>
    <t>Propriedade para explicar</t>
  </si>
  <si>
    <t>Decisão de uso</t>
  </si>
  <si>
    <t>Risco / atenção antes de usar</t>
  </si>
  <si>
    <t>Minhas observações</t>
  </si>
  <si>
    <t>Transformação da Squad: de acompanhamento próximo para mais autonomia</t>
  </si>
  <si>
    <t>Marchetti + Igor</t>
  </si>
  <si>
    <t>Squad com redução de capacidade, mudanças frequentes de prioridade, dependências e necessidade de acompanhamento muito próximo.</t>
  </si>
  <si>
    <t>Reorganizei planejamento e prioridades, fortaleci a tríade, atuei junto da Emily, entrei tecnicamente onde havia gaps e fui devolvendo ownership à medida que o time evoluiu.</t>
  </si>
  <si>
    <t>Marchetti reconheceu evolução da Squad em organização, autonomia e previsibilidade e relacionou essa melhora à minha atuação, energia, organização e liderança.</t>
  </si>
  <si>
    <t>Liderança, organização, autonomia, previsibilidade, capacidade de sair do operacional.</t>
  </si>
  <si>
    <t>Estratégia e liderança; Pessoas e capacidade; Formação de sucessores; Autonomia do time.</t>
  </si>
  <si>
    <t>Que decisão o time será capaz de tomar sem você? / Como aumentaria a autonomia do time?</t>
  </si>
  <si>
    <t>Reorganizei prioridades e responsabilidades em um cenário de baixa capacidade e dependências. Atuei nos gaps e, com a evolução do time, devolvi ownership, aumentando autonomia e previsibilidade.</t>
  </si>
  <si>
    <t>Evitar parecer que a melhora foi exclusivamente minha. Mostrar atuação coletiva e evidência concreta.</t>
  </si>
  <si>
    <t>Gestão de performance e conversas difíceis</t>
  </si>
  <si>
    <t>Igor + experiência da Squad</t>
  </si>
  <si>
    <t>Situações distintas de comportamento com impacto no time e de profissionais com dificuldade de execução/autonomia.</t>
  </si>
  <si>
    <t>Explicitei expectativas, dei feedback direto, acompanhei evolução e ajustei responsabilidades, sem deixar o problema virar apenas uma questão técnica.</t>
  </si>
  <si>
    <t>Mudanças de comportamento e maior clareza sobre expectativas e responsabilidades. Demonstra disposição para não postergar conversas difíceis.</t>
  </si>
  <si>
    <t>Gestão de pessoas, coragem gerencial, feedback, performance e proteção do clima.</t>
  </si>
  <si>
    <t>Pessoas, capacidade e IA; Liderança humanizada e protagonista; Gestão de performance.</t>
  </si>
  <si>
    <t>Como você lida com baixa performance? / Qual decisão difícil você já tomou sobre pessoas?</t>
  </si>
  <si>
    <t>Atuei em situações de performance com feedback direto, expectativa clara e acompanhamento, buscando desenvolvimento sem adiar conversas difíceis.</t>
  </si>
  <si>
    <t>Não citar nomes. Levar um caso específico e lembrar exatamente o que mudou depois da conversa.</t>
  </si>
  <si>
    <t>Formação de sucessores, owners e backups</t>
  </si>
  <si>
    <t>Necessidade de reduzir concentração de conhecimento e dependência do Tech Lead em frentes importantes.</t>
  </si>
  <si>
    <t>Passei a identificar pessoas com potencial para assumir frentes, criar backups, disseminar conhecimento e aumentar responsabilidade progressivamente.</t>
  </si>
  <si>
    <t>Maior distribuição de ownership e base para o time operar sem depender de uma única pessoa para decisões e conhecimento.</t>
  </si>
  <si>
    <t>Desenvolvimento de pessoas, sucessão, delegação com contexto e redução de risco operacional.</t>
  </si>
  <si>
    <t>Formação de sucessor; Estratégia e liderança; Pessoas e capacidade.</t>
  </si>
  <si>
    <t>Quem lideraria o primeiro experimento de IA? / Como você forma sucessores?</t>
  </si>
  <si>
    <t>Tenho trabalhado a distribuição de conhecimento e ownership, criando espaço para pessoas assumirem frentes, desenvolverem autonomia e se tornarem backups/sucessores.</t>
  </si>
  <si>
    <t>Escolher 1 exemplo real de pessoa/frente para sustentar a história se a banca aprofundar.</t>
  </si>
  <si>
    <t>Igor + atuação atual</t>
  </si>
  <si>
    <t>Entregas relevantes dependiam de outras equipes, componentes compartilhados e prioridades externas à Squad.</t>
  </si>
  <si>
    <t>Separei o que estava sob nosso controle, dei visibilidade a impacto, responsáveis e prazo, alinhei dependências e escalei quando necessário para não deixar o bloqueio contaminar todo o plano.</t>
  </si>
  <si>
    <t>Mais clareza de risco e responsabilidade; melhor gestão de impedimentos externos e do impacto no planejamento.</t>
  </si>
  <si>
    <t>Influência sem autoridade, gestão de dependências, negociação e escalonamento.</t>
  </si>
  <si>
    <t>Áreas consumidoras e ecossistema; Dependências entre áreas; Conflitos e compromissos.</t>
  </si>
  <si>
    <t>Como destravaria uma área consumidora? / Como lida com dependências fora da sua gestão?</t>
  </si>
  <si>
    <t>Em dependências externas, separo controle interno de bloqueios externos, explicito impacto e dono e escalo somente quando necessário, protegendo o restante do plano.</t>
  </si>
  <si>
    <t>Marchetti + atuação atual</t>
  </si>
  <si>
    <t>Adoção de IA no time com diferentes níveis de interesse e alguma resistência inicial.</t>
  </si>
  <si>
    <t>Conectei a adoção a problemas reais de produtividade, qualidade e conhecimento, evitando tratar uso da ferramenta como meta isolada.</t>
  </si>
  <si>
    <t>Experimentos mais aderentes ao trabalho real e aprendizado de que transformação depende de problema, owner, hipótese e métrica — não apenas da ferramenta.</t>
  </si>
  <si>
    <t>Inovação pragmática, mudança cultural, experimentação e aprendizado.</t>
  </si>
  <si>
    <t>IA mudando o modo de trabalhar; Pessoas, capacidade e IA; Inovação.</t>
  </si>
  <si>
    <t>Quem lideraria o primeiro experimento de IA? / Como faria IA gerar valor no dia a dia?</t>
  </si>
  <si>
    <t>Levar 1 caso em que houve ganho ou aprendizado concreto. Não vender adoção de IA sem evidência.</t>
  </si>
  <si>
    <t>MX4: proteger a modernização por regra de decisão</t>
  </si>
  <si>
    <t>Atuação atual / alinhamento com Emi</t>
  </si>
  <si>
    <t>Discussão sobre novas ofertas e risco de ampliar novamente o estoque não modernizado enquanto existe uma jornada de transformação em andamento.</t>
  </si>
  <si>
    <t>Defendi uma lógica em que novas ofertas não deveriam piorar o indicador global de modernização e deveriam nascer dentro do padrão modernizado, evitando aumentar dívida futura.</t>
  </si>
  <si>
    <t>Visão de plataforma acima da entrega local e proteção do objetivo de longo prazo sem bloquear o negócio.</t>
  </si>
  <si>
    <t>Visão sistêmica, governança de arquitetura, trade-off e proteção de roadmap.</t>
  </si>
  <si>
    <t>Modernização, legado e FinOps; Como proteger a data-muro de 2028?</t>
  </si>
  <si>
    <t>Como protegeria a data-muro de 2028? / Como evitar que novas demandas aumentem o legado?</t>
  </si>
  <si>
    <t>Modernização não é só retirar legado: é impedir que ele continue crescendo. Em discussões de novas ofertas, busquei proteger a evolução global da plataforma.</t>
  </si>
  <si>
    <t>Validar a formulação exata do combinado e evitar apresentar como decisão individual se foi uma decisão coletiva.</t>
  </si>
  <si>
    <t>Gestão de capacidade, prioridade e renúncia</t>
  </si>
  <si>
    <t>Squad com menos pessoas, várias demandas concorrentes e mudanças frequentes de prioridade.</t>
  </si>
  <si>
    <t>Passei a explicitar limites de capacidade, prioridades, dependências e o efeito de entrada de novas demandas sobre compromissos já assumidos.</t>
  </si>
  <si>
    <t>Maior transparência sobre o que cabe no time e melhor base para negociar trade-offs, em vez de tratar tudo como prioridade.</t>
  </si>
  <si>
    <t>Priorização, foco, renúncia, comunicação executiva e gestão de capacidade.</t>
  </si>
  <si>
    <t>Pessoas e capacidade; Estratégia e liderança; Renúncias; Compromissos com consumidores.</t>
  </si>
  <si>
    <t>O que deixaria de fazer para liberar capacidade? / Como decide o que não fazer?</t>
  </si>
  <si>
    <t>Com capacidade limitada, minha regra é tornar o trade-off explícito: se uma prioridade entra, algo precisa sair, reduzir escopo ou mudar prazo.</t>
  </si>
  <si>
    <t>Ter 1 exemplo real de uma prioridade que foi renegociada/postergada ou de um escopo reduzido.</t>
  </si>
  <si>
    <t>Atuação atual</t>
  </si>
  <si>
    <t>Discussões envolvendo necessidade de gerar valor no curto prazo sem perder a direção de uma solução mais moderna no futuro.</t>
  </si>
  <si>
    <t>Ajudei a separar solução transitória de estado futuro, buscando permitir avanço pragmático sem transformar a solução temporária em destino permanente.</t>
  </si>
  <si>
    <t>Equilíbrio entre velocidade, inovação, risco e direção arquitetural.</t>
  </si>
  <si>
    <t>Pragmatismo, modernização, visão de longo prazo e tomada de decisão sob restrição.</t>
  </si>
  <si>
    <t>Modernização e legado; Decisão orientada por contexto; Visão realista de transformação.</t>
  </si>
  <si>
    <t>Como equilibraria urgência com modernização? / Quando aceitaria uma solução transitória?</t>
  </si>
  <si>
    <t>Busco permitir valor no curto prazo sem perder o destino: solução transitória precisa ter limite, propósito e caminho explícito para o estado futuro.</t>
  </si>
  <si>
    <t>Usar somente se você tiver segurança sobre o contexto, decisão e resultado. Evitar aprofundamento arquitetural.</t>
  </si>
  <si>
    <t>Seleção dos exemplos para o case de Coordenação</t>
  </si>
  <si>
    <t>Objetivo: escolher poucos exemplos que você consegue explicar com propriedade, sustentar com fatos e aprofundar se a banca perguntar.</t>
  </si>
  <si>
    <t>Indicador</t>
  </si>
  <si>
    <t>Quantidade</t>
  </si>
  <si>
    <t>Critérios para escolher um exemplo forte</t>
  </si>
  <si>
    <t>Exemplos mapeados</t>
  </si>
  <si>
    <t>1</t>
  </si>
  <si>
    <t>Eu vivi essa situação de forma direta?</t>
  </si>
  <si>
    <t>Consigo explicar sem decorar e sem exagerar meu papel?</t>
  </si>
  <si>
    <t>Marcados como Alta propriedade</t>
  </si>
  <si>
    <t>2</t>
  </si>
  <si>
    <t>Houve uma decisão ou trade-off meu?</t>
  </si>
  <si>
    <t>Não é apenas uma entrega técnica ou participação periférica?</t>
  </si>
  <si>
    <t>Selecionados como principal</t>
  </si>
  <si>
    <t>3</t>
  </si>
  <si>
    <t>Tenho evidência de resultado ou aprendizado?</t>
  </si>
  <si>
    <t>Mesmo sem número exato, consigo dizer o que mudou?</t>
  </si>
  <si>
    <t>Selecionados como apoio</t>
  </si>
  <si>
    <t>4</t>
  </si>
  <si>
    <t>Consigo sustentar perguntas de follow-up?</t>
  </si>
  <si>
    <t>Quem? Quando? Por quê? O que deu errado? O que faria diferente?</t>
  </si>
  <si>
    <t>Composição sugerida para o material / entrevista</t>
  </si>
  <si>
    <t>Regra prática</t>
  </si>
  <si>
    <t>Principal 1</t>
  </si>
  <si>
    <t>Time e autonomia</t>
  </si>
  <si>
    <t>Transformação da Squad</t>
  </si>
  <si>
    <t>Mostra a transição de Tech Lead para liderança que cria autonomia.</t>
  </si>
  <si>
    <t>Prefira 4 histórias que você domina a 8 histórias superficiais.
Para cada história escolhida, prepare: contexto → decisão/ação → resultado/evidência → aprendizado.
Se um exemplo depende de muitos detalhes técnicos para ser entendido, simplifique a narrativa ou deixe como apoio.</t>
  </si>
  <si>
    <t>Principal 2</t>
  </si>
  <si>
    <t>Pessoas</t>
  </si>
  <si>
    <t>Performance / sucessão</t>
  </si>
  <si>
    <t>Mostra conversas difíceis, desenvolvimento e formação de pessoas.</t>
  </si>
  <si>
    <t>Principal 3</t>
  </si>
  <si>
    <t>Ecossistema</t>
  </si>
  <si>
    <t>Mostra influência sem autoridade e gestão de dependências.</t>
  </si>
  <si>
    <t>Principal 4</t>
  </si>
  <si>
    <t>Transformação</t>
  </si>
  <si>
    <t>IA ou MX4</t>
  </si>
  <si>
    <t>Mostra inovação aplicada ou proteção da modernização.</t>
  </si>
  <si>
    <t>Backup 1</t>
  </si>
  <si>
    <t>Capacidade</t>
  </si>
  <si>
    <t>Prioridade e renúncia</t>
  </si>
  <si>
    <t>Excelente para perguntas de autenticidade do case.</t>
  </si>
  <si>
    <t>Backup 2</t>
  </si>
  <si>
    <t>Modernização</t>
  </si>
  <si>
    <t>BDC / Bimed</t>
  </si>
  <si>
    <t>Use se você tiver segurança para sustentar contexto e resultado.</t>
  </si>
  <si>
    <t>Dependências MUREX / KB2 / Portugal</t>
  </si>
  <si>
    <t>Alta</t>
  </si>
  <si>
    <t>Usar como principal</t>
  </si>
  <si>
    <t>Usar como apoio</t>
  </si>
  <si>
    <t>Média</t>
  </si>
  <si>
    <t>Rotacionei os assuntos entre as membros, dei mais automonia para os membros, fiz eles se sentirem donos das demandas</t>
  </si>
  <si>
    <t>Dependências MUREX / KB2 / Portugal: influência sem autoridade</t>
  </si>
  <si>
    <t>Baixa</t>
  </si>
  <si>
    <t>Tenho promovido IA em problemas reais com Copilot, Devin, Claude e agentes: problema claro, owner do time, hipótese de ganho e aprendizado antes de escalar.</t>
  </si>
  <si>
    <t>IA aplicada ao trabalho: Devin, Claude, Copilot e experimentação</t>
  </si>
  <si>
    <t>A definir</t>
  </si>
  <si>
    <t>Integração com o Markit, definimos os MVP já pensando em agregar valor para o negocio; 
Confirmation, quebramos em MVP e fomos evoluindo a solução fazendo tradeoff para entregar taticamente uma funcionalidade já adicionando no proximo MVP ajusta-la, porem desde o primeiro já coletando beneficios</t>
  </si>
  <si>
    <t>Divulgar interno na squad o uso do BMAD e HIVE, agora já iniciando um novo projeto com o AI-DLC</t>
  </si>
  <si>
    <t>BDC / Bmad: solução transitória sem perder o estado futuro</t>
  </si>
  <si>
    <t>Treinando o Gustavo para minha sucessão, delegando responsabilidade para ele atuar liderando as atividades do arthur, porem ainda temos pontos de melhoria no soft skill, a ajustar principalmente como visão estategia de futuro para a plataforma, comunicação e sendo de urgencia. No qual Identificando o perfil do Bruno, sendo que ele demostra muita maturidade para ser sucessor</t>
  </si>
  <si>
    <t>Evitar entrar em detalhe técnico de Kafka/KB2. Focar no processo de decisão, alinhamento e escalonamento.</t>
  </si>
  <si>
    <t xml:space="preserve">Saimos de muitas low user em dezembro25 para mais pessoas na classificação heavy user ; Demostrar o valor da IA, fazer o time comprar a ideia, porem isso teve um grande ajuda da liderança atual, trazendo 1 pessoa com vivencia em IA, e outra pessoa com perfil mais inovadora e que compra a ideia </t>
  </si>
  <si>
    <t>aqui eu adiei bastante a conversa dificil, dei pouco feedback para as 2 pessoas q no final foram desligadas. Porem sempre foi transparente para minha liderança que o clima da squad estava troxica ao ponto de estar atrapalhando as entregas
Apreendi manter pessoas por muito tempo se já identificado que nem sempre podemos evolui-la. O banco é grande e sempre tem pessoas boas querendo ser contratadas
Tanto na triade, quando com alguns membros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</si>
</sst>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0B1F3A"/>
      <name val="Carlito"/>
    </font>
    <font>
      <sz val="11"/>
      <color rgb="FF0B1F3A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2E8"/>
      </patternFill>
    </fill>
    <fill>
      <patternFill patternType="solid">
        <fgColor rgb="FFFFFDF5"/>
      </patternFill>
    </fill>
    <fill>
      <patternFill patternType="solid">
        <fgColor rgb="FFEAF2FB"/>
      </patternFill>
    </fill>
    <fill>
      <patternFill patternType="solid">
        <fgColor rgb="FFE87522"/>
      </patternFill>
    </fill>
    <fill>
      <patternFill patternType="solid">
        <fgColor rgb="FF2563A6"/>
      </patternFill>
    </fill>
    <fill>
      <patternFill patternType="solid">
        <fgColor rgb="FF2C8A57"/>
      </patternFill>
    </fill>
  </fills>
  <borders count="9">
    <border>
      <left/>
      <right/>
      <top/>
      <bottom/>
      <diagonal/>
    </border>
    <border>
      <left style="thin">
        <color rgb="FFD9E1EA"/>
      </left>
      <right/>
      <top style="thin">
        <color rgb="FFD9E1EA"/>
      </top>
      <bottom/>
      <diagonal/>
    </border>
    <border>
      <left/>
      <right/>
      <top style="thin">
        <color rgb="FFD9E1EA"/>
      </top>
      <bottom/>
      <diagonal/>
    </border>
    <border>
      <left/>
      <right style="thin">
        <color rgb="FFD9E1EA"/>
      </right>
      <top style="thin">
        <color rgb="FFD9E1EA"/>
      </top>
      <bottom/>
      <diagonal/>
    </border>
    <border>
      <left style="thin">
        <color rgb="FFD9E1EA"/>
      </left>
      <right/>
      <top/>
      <bottom/>
      <diagonal/>
    </border>
    <border>
      <left/>
      <right style="thin">
        <color rgb="FFD9E1EA"/>
      </right>
      <top/>
      <bottom/>
      <diagonal/>
    </border>
    <border>
      <left style="thin">
        <color rgb="FFD9E1EA"/>
      </left>
      <right/>
      <top/>
      <bottom style="thin">
        <color rgb="FFD9E1EA"/>
      </bottom>
      <diagonal/>
    </border>
    <border>
      <left/>
      <right/>
      <top/>
      <bottom style="thin">
        <color rgb="FFD9E1EA"/>
      </bottom>
      <diagonal/>
    </border>
    <border>
      <left/>
      <right style="thin">
        <color rgb="FFD9E1EA"/>
      </right>
      <top/>
      <bottom style="thin">
        <color rgb="FFD9E1EA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1" fillId="8" borderId="1" xfId="0" applyFont="1" applyFill="1" applyBorder="1"/>
    <xf numFmtId="0" fontId="1" fillId="8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5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3" fillId="7" borderId="0" xfId="0" applyFont="1" applyFill="1" applyAlignment="1">
      <alignment wrapText="1"/>
    </xf>
    <xf numFmtId="0" fontId="1" fillId="9" borderId="0" xfId="0" applyFont="1" applyFill="1" applyAlignment="1">
      <alignment horizontal="left"/>
    </xf>
    <xf numFmtId="0" fontId="1" fillId="10" borderId="0" xfId="0" applyFont="1" applyFill="1"/>
    <xf numFmtId="0" fontId="1" fillId="8" borderId="0" xfId="0" applyFont="1" applyFill="1"/>
    <xf numFmtId="0" fontId="4" fillId="5" borderId="0" xfId="0" applyFont="1" applyFill="1" applyAlignment="1">
      <alignment vertical="top" wrapText="1"/>
    </xf>
  </cellXfs>
  <cellStyles count="1">
    <cellStyle name="Normal" xfId="0" builtinId="0"/>
  </cellStyles>
  <dxfs count="5">
    <dxf>
      <font>
        <color rgb="FF6B7280"/>
      </font>
      <fill>
        <patternFill patternType="solid">
          <bgColor rgb="FFF3F4F6"/>
        </patternFill>
      </fill>
    </dxf>
    <dxf>
      <font>
        <b/>
        <color rgb="FF0B4F8A"/>
      </font>
      <fill>
        <patternFill patternType="solid">
          <bgColor rgb="FFDCEBFA"/>
        </patternFill>
      </fill>
    </dxf>
    <dxf>
      <font>
        <color rgb="FF991B1B"/>
      </font>
      <fill>
        <patternFill patternType="solid">
          <bgColor rgb="FFFDE2E2"/>
        </patternFill>
      </fill>
    </dxf>
    <dxf>
      <font>
        <color rgb="FF854D0E"/>
      </font>
      <fill>
        <patternFill patternType="solid">
          <bgColor rgb="FFFFF3CD"/>
        </patternFill>
      </fill>
    </dxf>
    <dxf>
      <font>
        <b/>
        <color rgb="FF166534"/>
      </font>
      <fill>
        <patternFill patternType="solid">
          <bgColor rgb="FFDDF3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mplosAtuacaoTable" displayName="ExemplosAtuacaoTable" ref="A1:N9" totalsRowShown="0">
  <tableColumns count="14">
    <tableColumn id="1" xr3:uid="{00000000-0010-0000-0000-000001000000}" name="ID"/>
    <tableColumn id="2" xr3:uid="{00000000-0010-0000-0000-000002000000}" name="Exemplo da atuação atual"/>
    <tableColumn id="3" xr3:uid="{00000000-0010-0000-0000-000003000000}" name="Origem"/>
    <tableColumn id="4" xr3:uid="{00000000-0010-0000-0000-000004000000}" name="Situação / contexto"/>
    <tableColumn id="5" xr3:uid="{00000000-0010-0000-0000-000005000000}" name="Minha atuação"/>
    <tableColumn id="6" xr3:uid="{00000000-0010-0000-0000-000006000000}" name="Evidência / resultado"/>
    <tableColumn id="7" xr3:uid="{00000000-0010-0000-0000-000007000000}" name="O que demonstra"/>
    <tableColumn id="8" xr3:uid="{00000000-0010-0000-0000-000008000000}" name="Conexão com o case"/>
    <tableColumn id="9" xr3:uid="{00000000-0010-0000-0000-000009000000}" name="Pergunta da banca que ajuda a responder"/>
    <tableColumn id="10" xr3:uid="{00000000-0010-0000-0000-00000A000000}" name="Versão curta para o PPT"/>
    <tableColumn id="11" xr3:uid="{00000000-0010-0000-0000-00000B000000}" name="Propriedade para explicar"/>
    <tableColumn id="12" xr3:uid="{00000000-0010-0000-0000-00000C000000}" name="Decisão de uso"/>
    <tableColumn id="13" xr3:uid="{00000000-0010-0000-0000-00000D000000}" name="Risco / atenção antes de usar"/>
    <tableColumn id="14" xr3:uid="{00000000-0010-0000-0000-00000E000000}" name="Minhas 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B1" workbookViewId="0">
      <selection activeCell="E4" sqref="C4:E6"/>
    </sheetView>
  </sheetViews>
  <sheetFormatPr defaultRowHeight="14.25"/>
  <cols>
    <col min="1" max="1" width="5" customWidth="1"/>
    <col min="2" max="2" width="30" customWidth="1"/>
    <col min="3" max="3" width="18" customWidth="1"/>
    <col min="4" max="4" width="42" customWidth="1"/>
    <col min="5" max="5" width="46" customWidth="1"/>
    <col min="6" max="6" width="40" customWidth="1"/>
    <col min="7" max="7" width="34" customWidth="1"/>
    <col min="8" max="8" width="36" customWidth="1"/>
    <col min="9" max="9" width="38" customWidth="1"/>
    <col min="10" max="10" width="46" customWidth="1"/>
    <col min="11" max="12" width="20" customWidth="1"/>
    <col min="13" max="13" width="40" customWidth="1"/>
    <col min="14" max="14" width="34" customWidth="1"/>
  </cols>
  <sheetData>
    <row r="1" spans="1:14" ht="38.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105" customHeight="1">
      <c r="A2" s="4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10" t="s">
        <v>138</v>
      </c>
      <c r="L2" s="10" t="s">
        <v>136</v>
      </c>
      <c r="M2" s="5" t="s">
        <v>23</v>
      </c>
      <c r="N2" s="12" t="s">
        <v>139</v>
      </c>
    </row>
    <row r="3" spans="1:14" ht="105" customHeight="1">
      <c r="A3" s="6">
        <v>2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10" t="s">
        <v>135</v>
      </c>
      <c r="L3" s="10" t="s">
        <v>136</v>
      </c>
      <c r="M3" s="7" t="s">
        <v>33</v>
      </c>
      <c r="N3" s="12" t="s">
        <v>151</v>
      </c>
    </row>
    <row r="4" spans="1:14" ht="105" customHeight="1">
      <c r="A4" s="4">
        <v>3</v>
      </c>
      <c r="B4" s="5" t="s">
        <v>34</v>
      </c>
      <c r="C4" s="5" t="s">
        <v>15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10" t="s">
        <v>135</v>
      </c>
      <c r="L4" s="10" t="s">
        <v>136</v>
      </c>
      <c r="M4" s="5" t="s">
        <v>42</v>
      </c>
      <c r="N4" s="12" t="s">
        <v>148</v>
      </c>
    </row>
    <row r="5" spans="1:14" ht="105" customHeight="1">
      <c r="A5" s="6">
        <v>4</v>
      </c>
      <c r="B5" s="7" t="s">
        <v>140</v>
      </c>
      <c r="C5" s="7" t="s">
        <v>43</v>
      </c>
      <c r="D5" s="7" t="s">
        <v>44</v>
      </c>
      <c r="E5" s="7" t="s">
        <v>45</v>
      </c>
      <c r="F5" s="7" t="s">
        <v>46</v>
      </c>
      <c r="G5" s="7" t="s">
        <v>47</v>
      </c>
      <c r="H5" s="7" t="s">
        <v>48</v>
      </c>
      <c r="I5" s="7" t="s">
        <v>49</v>
      </c>
      <c r="J5" s="7" t="s">
        <v>50</v>
      </c>
      <c r="K5" s="10" t="s">
        <v>141</v>
      </c>
      <c r="L5" s="10" t="s">
        <v>137</v>
      </c>
      <c r="M5" s="7" t="s">
        <v>149</v>
      </c>
      <c r="N5" s="12"/>
    </row>
    <row r="6" spans="1:14" ht="105" customHeight="1">
      <c r="A6" s="4">
        <v>5</v>
      </c>
      <c r="B6" s="5" t="s">
        <v>143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55</v>
      </c>
      <c r="H6" s="5" t="s">
        <v>56</v>
      </c>
      <c r="I6" s="5" t="s">
        <v>57</v>
      </c>
      <c r="J6" s="5" t="s">
        <v>142</v>
      </c>
      <c r="K6" s="10" t="s">
        <v>135</v>
      </c>
      <c r="L6" s="10" t="s">
        <v>136</v>
      </c>
      <c r="M6" s="5" t="s">
        <v>58</v>
      </c>
      <c r="N6" s="12" t="s">
        <v>150</v>
      </c>
    </row>
    <row r="7" spans="1:14" ht="105" customHeight="1">
      <c r="A7" s="6">
        <v>6</v>
      </c>
      <c r="B7" s="7" t="s">
        <v>59</v>
      </c>
      <c r="C7" s="7" t="s">
        <v>60</v>
      </c>
      <c r="D7" s="7" t="s">
        <v>61</v>
      </c>
      <c r="E7" s="7" t="s">
        <v>62</v>
      </c>
      <c r="F7" s="7" t="s">
        <v>63</v>
      </c>
      <c r="G7" s="7" t="s">
        <v>64</v>
      </c>
      <c r="H7" s="7" t="s">
        <v>65</v>
      </c>
      <c r="I7" s="7" t="s">
        <v>66</v>
      </c>
      <c r="J7" s="7" t="s">
        <v>67</v>
      </c>
      <c r="K7" s="10" t="s">
        <v>141</v>
      </c>
      <c r="L7" s="10" t="s">
        <v>144</v>
      </c>
      <c r="M7" s="7" t="s">
        <v>68</v>
      </c>
      <c r="N7" s="12"/>
    </row>
    <row r="8" spans="1:14" ht="105" customHeight="1">
      <c r="A8" s="4">
        <v>7</v>
      </c>
      <c r="B8" s="5" t="s">
        <v>69</v>
      </c>
      <c r="C8" s="5" t="s">
        <v>15</v>
      </c>
      <c r="D8" s="5" t="s">
        <v>70</v>
      </c>
      <c r="E8" s="5" t="s">
        <v>71</v>
      </c>
      <c r="F8" s="5" t="s">
        <v>72</v>
      </c>
      <c r="G8" s="5" t="s">
        <v>73</v>
      </c>
      <c r="H8" s="5" t="s">
        <v>74</v>
      </c>
      <c r="I8" s="5" t="s">
        <v>75</v>
      </c>
      <c r="J8" s="5" t="s">
        <v>76</v>
      </c>
      <c r="K8" s="10" t="s">
        <v>135</v>
      </c>
      <c r="L8" s="10" t="s">
        <v>137</v>
      </c>
      <c r="M8" s="5" t="s">
        <v>77</v>
      </c>
      <c r="N8" s="12" t="s">
        <v>145</v>
      </c>
    </row>
    <row r="9" spans="1:14" ht="105" customHeight="1">
      <c r="A9" s="8">
        <v>8</v>
      </c>
      <c r="B9" s="9" t="s">
        <v>147</v>
      </c>
      <c r="C9" s="9" t="s">
        <v>78</v>
      </c>
      <c r="D9" s="9" t="s">
        <v>79</v>
      </c>
      <c r="E9" s="9" t="s">
        <v>80</v>
      </c>
      <c r="F9" s="9" t="s">
        <v>81</v>
      </c>
      <c r="G9" s="9" t="s">
        <v>82</v>
      </c>
      <c r="H9" s="9" t="s">
        <v>83</v>
      </c>
      <c r="I9" s="9" t="s">
        <v>84</v>
      </c>
      <c r="J9" s="9" t="s">
        <v>85</v>
      </c>
      <c r="K9" s="11" t="s">
        <v>135</v>
      </c>
      <c r="L9" s="11" t="s">
        <v>136</v>
      </c>
      <c r="M9" s="9" t="s">
        <v>86</v>
      </c>
      <c r="N9" s="13" t="s">
        <v>146</v>
      </c>
    </row>
  </sheetData>
  <conditionalFormatting sqref="K2:K9">
    <cfRule type="expression" dxfId="4" priority="1">
      <formula>K2="Alta"</formula>
    </cfRule>
    <cfRule type="expression" dxfId="3" priority="2">
      <formula>K2="Média"</formula>
    </cfRule>
    <cfRule type="expression" dxfId="2" priority="3">
      <formula>K2="Baixa"</formula>
    </cfRule>
  </conditionalFormatting>
  <conditionalFormatting sqref="L2:L9">
    <cfRule type="expression" dxfId="1" priority="4">
      <formula>L2="Usar como principal"</formula>
    </cfRule>
    <cfRule type="expression" dxfId="0" priority="5">
      <formula>L2="Não usar"</formula>
    </cfRule>
  </conditionalFormatting>
  <dataValidations count="2">
    <dataValidation type="list" sqref="K2:K9" xr:uid="{00000000-0002-0000-0000-000000000000}">
      <formula1>"Alta,Média,Baixa,Preciso revisar"</formula1>
    </dataValidation>
    <dataValidation type="list" sqref="L2:L9" xr:uid="{00000000-0002-0000-0000-000001000000}">
      <formula1>"Usar como principal,Usar como apoio,Não usar,A definir"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C20" sqref="C20"/>
    </sheetView>
  </sheetViews>
  <sheetFormatPr defaultRowHeight="14.25"/>
  <cols>
    <col min="1" max="1" width="18" customWidth="1"/>
    <col min="2" max="2" width="26" customWidth="1"/>
    <col min="3" max="3" width="32" customWidth="1"/>
    <col min="4" max="4" width="22" customWidth="1"/>
    <col min="5" max="5" width="32" customWidth="1"/>
    <col min="6" max="6" width="38" customWidth="1"/>
    <col min="7" max="8" width="20" customWidth="1"/>
  </cols>
  <sheetData>
    <row r="1" spans="1:8" ht="33.950000000000003" customHeight="1">
      <c r="A1" s="35" t="s">
        <v>87</v>
      </c>
      <c r="B1" s="36"/>
      <c r="C1" s="36"/>
      <c r="D1" s="36"/>
      <c r="E1" s="36"/>
      <c r="F1" s="36"/>
      <c r="G1" s="36"/>
      <c r="H1" s="36"/>
    </row>
    <row r="2" spans="1:8" ht="33.950000000000003" customHeight="1">
      <c r="A2" s="37" t="s">
        <v>88</v>
      </c>
      <c r="B2" s="36"/>
      <c r="C2" s="36"/>
      <c r="D2" s="36"/>
      <c r="E2" s="36"/>
      <c r="F2" s="36"/>
      <c r="G2" s="36"/>
      <c r="H2" s="36"/>
    </row>
    <row r="4" spans="1:8" ht="15">
      <c r="A4" s="14" t="s">
        <v>89</v>
      </c>
      <c r="B4" s="15" t="s">
        <v>90</v>
      </c>
      <c r="D4" s="38" t="s">
        <v>91</v>
      </c>
      <c r="E4" s="36"/>
      <c r="F4" s="36"/>
      <c r="G4" s="36"/>
      <c r="H4" s="36"/>
    </row>
    <row r="5" spans="1:8" ht="28.5">
      <c r="A5" s="16" t="s">
        <v>92</v>
      </c>
      <c r="B5" s="17">
        <f>COUNTA(Exemplos!B2:B9)</f>
        <v>8</v>
      </c>
      <c r="D5" s="20" t="s">
        <v>93</v>
      </c>
      <c r="E5" s="21" t="s">
        <v>94</v>
      </c>
      <c r="F5" s="22" t="s">
        <v>95</v>
      </c>
    </row>
    <row r="6" spans="1:8" ht="28.5">
      <c r="A6" s="16" t="s">
        <v>96</v>
      </c>
      <c r="B6" s="17">
        <f>COUNTIF(Exemplos!K2:K9,"Alta")</f>
        <v>5</v>
      </c>
      <c r="D6" s="23" t="s">
        <v>97</v>
      </c>
      <c r="E6" s="24" t="s">
        <v>98</v>
      </c>
      <c r="F6" s="25" t="s">
        <v>99</v>
      </c>
    </row>
    <row r="7" spans="1:8" ht="28.5">
      <c r="A7" s="16" t="s">
        <v>100</v>
      </c>
      <c r="B7" s="17">
        <f>COUNTIF(Exemplos!L2:L9,"Usar como principal")</f>
        <v>5</v>
      </c>
      <c r="D7" s="23" t="s">
        <v>101</v>
      </c>
      <c r="E7" s="24" t="s">
        <v>102</v>
      </c>
      <c r="F7" s="25" t="s">
        <v>103</v>
      </c>
    </row>
    <row r="8" spans="1:8" ht="28.5">
      <c r="A8" s="18" t="s">
        <v>104</v>
      </c>
      <c r="B8" s="19">
        <f>COUNTIF(Exemplos!L2:L9,"Usar como apoio")</f>
        <v>2</v>
      </c>
      <c r="D8" s="26" t="s">
        <v>105</v>
      </c>
      <c r="E8" s="27" t="s">
        <v>106</v>
      </c>
      <c r="F8" s="28" t="s">
        <v>107</v>
      </c>
    </row>
    <row r="11" spans="1:8" ht="15">
      <c r="A11" s="39" t="s">
        <v>108</v>
      </c>
      <c r="B11" s="36"/>
      <c r="C11" s="36"/>
      <c r="D11" s="36"/>
      <c r="E11" s="36"/>
      <c r="F11" s="40" t="s">
        <v>109</v>
      </c>
      <c r="G11" s="36"/>
      <c r="H11" s="36"/>
    </row>
    <row r="12" spans="1:8" ht="33.950000000000003" customHeight="1">
      <c r="A12" s="20" t="s">
        <v>110</v>
      </c>
      <c r="B12" s="21" t="s">
        <v>111</v>
      </c>
      <c r="C12" s="21" t="s">
        <v>112</v>
      </c>
      <c r="D12" s="22" t="s">
        <v>113</v>
      </c>
      <c r="F12" s="41" t="s">
        <v>114</v>
      </c>
      <c r="G12" s="36"/>
      <c r="H12" s="36"/>
    </row>
    <row r="13" spans="1:8" ht="33.950000000000003" customHeight="1">
      <c r="A13" s="29" t="s">
        <v>115</v>
      </c>
      <c r="B13" s="30" t="s">
        <v>116</v>
      </c>
      <c r="C13" s="30" t="s">
        <v>117</v>
      </c>
      <c r="D13" s="31" t="s">
        <v>118</v>
      </c>
      <c r="F13" s="36"/>
      <c r="G13" s="36"/>
      <c r="H13" s="36"/>
    </row>
    <row r="14" spans="1:8" ht="33.950000000000003" customHeight="1">
      <c r="A14" s="23" t="s">
        <v>119</v>
      </c>
      <c r="B14" s="24" t="s">
        <v>120</v>
      </c>
      <c r="C14" s="24" t="s">
        <v>134</v>
      </c>
      <c r="D14" s="25" t="s">
        <v>121</v>
      </c>
      <c r="F14" s="36"/>
      <c r="G14" s="36"/>
      <c r="H14" s="36"/>
    </row>
    <row r="15" spans="1:8" ht="33.950000000000003" customHeight="1">
      <c r="A15" s="29" t="s">
        <v>122</v>
      </c>
      <c r="B15" s="30" t="s">
        <v>123</v>
      </c>
      <c r="C15" s="30" t="s">
        <v>124</v>
      </c>
      <c r="D15" s="31" t="s">
        <v>125</v>
      </c>
      <c r="F15" s="36"/>
      <c r="G15" s="36"/>
      <c r="H15" s="36"/>
    </row>
    <row r="16" spans="1:8" ht="33.950000000000003" customHeight="1">
      <c r="A16" s="23" t="s">
        <v>126</v>
      </c>
      <c r="B16" s="24" t="s">
        <v>127</v>
      </c>
      <c r="C16" s="24" t="s">
        <v>128</v>
      </c>
      <c r="D16" s="25" t="s">
        <v>129</v>
      </c>
      <c r="F16" s="36"/>
      <c r="G16" s="36"/>
      <c r="H16" s="36"/>
    </row>
    <row r="17" spans="1:8" ht="33.950000000000003" customHeight="1">
      <c r="A17" s="32" t="s">
        <v>130</v>
      </c>
      <c r="B17" s="33" t="s">
        <v>131</v>
      </c>
      <c r="C17" s="33" t="s">
        <v>132</v>
      </c>
      <c r="D17" s="34" t="s">
        <v>133</v>
      </c>
      <c r="F17" s="36"/>
      <c r="G17" s="36"/>
      <c r="H17" s="36"/>
    </row>
  </sheetData>
  <mergeCells count="5">
    <mergeCell ref="A1:H1"/>
    <mergeCell ref="A2:H2"/>
    <mergeCell ref="D4:H4"/>
    <mergeCell ref="A11:H11"/>
    <mergeCell ref="F12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Exemplos</vt:lpstr>
      <vt:lpstr>Seleção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Sato</dc:creator>
  <cp:lastModifiedBy>Paulo Sato</cp:lastModifiedBy>
  <dcterms:created xsi:type="dcterms:W3CDTF">2026-09-19T19:39:03Z</dcterms:created>
  <dcterms:modified xsi:type="dcterms:W3CDTF">2026-09-19T19:39:03Z</dcterms:modified>
</cp:coreProperties>
</file>